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F:\IB  internship\Wall street prep\IB\"/>
    </mc:Choice>
  </mc:AlternateContent>
  <xr:revisionPtr revIDLastSave="0" documentId="13_ncr:1_{6B53F67C-30CC-43C1-95AA-0C8E8E272E98}" xr6:coauthVersionLast="47" xr6:coauthVersionMax="47" xr10:uidLastSave="{00000000-0000-0000-0000-000000000000}"/>
  <bookViews>
    <workbookView xWindow="-108" yWindow="-108" windowWidth="23256" windowHeight="12456" activeTab="2" xr2:uid="{A468C79A-8C76-4684-9897-E3DD8D883E43}"/>
  </bookViews>
  <sheets>
    <sheet name="3-statement model" sheetId="1" r:id="rId1"/>
    <sheet name="Revenues build-up" sheetId="2" r:id="rId2"/>
    <sheet name="FSM-2019 update" sheetId="3" r:id="rId3"/>
    <sheet name="Rev-2019 update" sheetId="4" r:id="rId4"/>
  </sheets>
  <calcPr calcId="191029" calcMode="autoNoTable"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V324" i="3" l="1"/>
  <c r="L237" i="3"/>
  <c r="K237" i="3"/>
  <c r="J237" i="3"/>
  <c r="I237" i="3"/>
  <c r="L236" i="3"/>
  <c r="K236" i="3"/>
  <c r="J236" i="3"/>
  <c r="I236" i="3"/>
  <c r="H237" i="3"/>
  <c r="H236" i="3"/>
  <c r="F155" i="3"/>
  <c r="F154" i="3" s="1"/>
  <c r="E146" i="3"/>
  <c r="E137" i="3"/>
  <c r="E136" i="3"/>
  <c r="G274" i="3"/>
  <c r="F274" i="3" s="1"/>
  <c r="E274" i="3" s="1"/>
  <c r="G273" i="3"/>
  <c r="H273" i="3" s="1"/>
  <c r="I273" i="3" s="1"/>
  <c r="J273" i="3" s="1"/>
  <c r="K273" i="3" s="1"/>
  <c r="L273" i="3" s="1"/>
  <c r="G205" i="3"/>
  <c r="F205" i="3" s="1"/>
  <c r="E205" i="3" s="1"/>
  <c r="G204" i="3"/>
  <c r="H204" i="3" s="1"/>
  <c r="I204" i="3" s="1"/>
  <c r="J204" i="3" s="1"/>
  <c r="K204" i="3" s="1"/>
  <c r="L204" i="3" s="1"/>
  <c r="G188" i="3"/>
  <c r="F188" i="3" s="1"/>
  <c r="E188" i="3" s="1"/>
  <c r="G187" i="3"/>
  <c r="H187" i="3" s="1"/>
  <c r="I187" i="3" s="1"/>
  <c r="J187" i="3" s="1"/>
  <c r="K187" i="3" s="1"/>
  <c r="L187" i="3" s="1"/>
  <c r="G141" i="3"/>
  <c r="F141" i="3" s="1"/>
  <c r="E141" i="3" s="1"/>
  <c r="G140" i="3"/>
  <c r="F140" i="3" s="1"/>
  <c r="E140" i="3" s="1"/>
  <c r="H96" i="3"/>
  <c r="I96" i="3" s="1"/>
  <c r="J96" i="3" s="1"/>
  <c r="K96" i="3" s="1"/>
  <c r="L96" i="3" s="1"/>
  <c r="G96" i="3"/>
  <c r="F96" i="3"/>
  <c r="E96" i="3" s="1"/>
  <c r="G95" i="3"/>
  <c r="H95" i="3" s="1"/>
  <c r="I95" i="3" s="1"/>
  <c r="J95" i="3" s="1"/>
  <c r="K95" i="3" s="1"/>
  <c r="L95" i="3" s="1"/>
  <c r="H28" i="4"/>
  <c r="E14" i="4"/>
  <c r="D13" i="4"/>
  <c r="E41" i="4"/>
  <c r="E40" i="4"/>
  <c r="E39" i="4"/>
  <c r="E38" i="4"/>
  <c r="E37" i="4"/>
  <c r="E34" i="4"/>
  <c r="E33" i="4"/>
  <c r="E32" i="4"/>
  <c r="F29" i="4"/>
  <c r="E29" i="4"/>
  <c r="F28" i="4"/>
  <c r="E28" i="4"/>
  <c r="F27" i="4"/>
  <c r="E27" i="4"/>
  <c r="E24" i="4"/>
  <c r="D24" i="4"/>
  <c r="E23" i="4"/>
  <c r="D23" i="4"/>
  <c r="E22" i="4"/>
  <c r="D22" i="4"/>
  <c r="G3" i="4"/>
  <c r="H3" i="4" s="1"/>
  <c r="I3" i="4" s="1"/>
  <c r="J3" i="4" s="1"/>
  <c r="K3" i="4" s="1"/>
  <c r="L3" i="4" s="1"/>
  <c r="G4" i="4"/>
  <c r="F4" i="4" s="1"/>
  <c r="E4" i="4" s="1"/>
  <c r="D4" i="4" s="1"/>
  <c r="G59" i="3"/>
  <c r="G46" i="3"/>
  <c r="F66" i="3"/>
  <c r="E66" i="3"/>
  <c r="F59" i="3"/>
  <c r="E59" i="3"/>
  <c r="F57" i="3"/>
  <c r="F61" i="3" s="1"/>
  <c r="E57" i="3"/>
  <c r="E61" i="3" s="1"/>
  <c r="F46" i="3"/>
  <c r="F53" i="3" s="1"/>
  <c r="F68" i="3" s="1"/>
  <c r="E46" i="3"/>
  <c r="E53" i="3" s="1"/>
  <c r="F40" i="3"/>
  <c r="E40" i="3"/>
  <c r="D40" i="3"/>
  <c r="F39" i="3"/>
  <c r="E39" i="3"/>
  <c r="D39" i="3"/>
  <c r="D38" i="3"/>
  <c r="F37" i="3"/>
  <c r="E37" i="3"/>
  <c r="F20" i="3"/>
  <c r="F23" i="3" s="1"/>
  <c r="E20" i="3"/>
  <c r="E23" i="3" s="1"/>
  <c r="D20" i="3"/>
  <c r="D23" i="3" s="1"/>
  <c r="H4" i="4" l="1"/>
  <c r="I4" i="4" s="1"/>
  <c r="J4" i="4" s="1"/>
  <c r="K4" i="4" s="1"/>
  <c r="L4" i="4" s="1"/>
  <c r="F273" i="3"/>
  <c r="E273" i="3" s="1"/>
  <c r="H274" i="3"/>
  <c r="I274" i="3" s="1"/>
  <c r="J274" i="3" s="1"/>
  <c r="K274" i="3" s="1"/>
  <c r="L274" i="3" s="1"/>
  <c r="F204" i="3"/>
  <c r="E204" i="3" s="1"/>
  <c r="H205" i="3"/>
  <c r="I205" i="3" s="1"/>
  <c r="J205" i="3" s="1"/>
  <c r="K205" i="3" s="1"/>
  <c r="L205" i="3" s="1"/>
  <c r="H188" i="3"/>
  <c r="I188" i="3" s="1"/>
  <c r="J188" i="3" s="1"/>
  <c r="K188" i="3" s="1"/>
  <c r="L188" i="3" s="1"/>
  <c r="F187" i="3"/>
  <c r="E187" i="3" s="1"/>
  <c r="H140" i="3"/>
  <c r="I140" i="3" s="1"/>
  <c r="J140" i="3" s="1"/>
  <c r="K140" i="3" s="1"/>
  <c r="L140" i="3" s="1"/>
  <c r="H141" i="3"/>
  <c r="I141" i="3" s="1"/>
  <c r="J141" i="3" s="1"/>
  <c r="K141" i="3" s="1"/>
  <c r="L141" i="3" s="1"/>
  <c r="F95" i="3"/>
  <c r="E95" i="3" s="1"/>
  <c r="F3" i="4"/>
  <c r="E3" i="4" s="1"/>
  <c r="D3" i="4" s="1"/>
  <c r="E68" i="3"/>
  <c r="E38" i="3"/>
  <c r="E32" i="3"/>
  <c r="E34" i="3" s="1"/>
  <c r="E27" i="3"/>
  <c r="F38" i="3"/>
  <c r="D27" i="3"/>
  <c r="D32" i="3"/>
  <c r="D34" i="3" s="1"/>
  <c r="F32" i="3"/>
  <c r="F34" i="3" s="1"/>
  <c r="F27" i="3"/>
  <c r="D29" i="3" l="1"/>
  <c r="D41" i="3"/>
  <c r="F29" i="3"/>
  <c r="F41" i="3"/>
  <c r="E29" i="3"/>
  <c r="E41" i="3"/>
  <c r="I41" i="4" l="1"/>
  <c r="J41" i="4" s="1"/>
  <c r="K41" i="4" s="1"/>
  <c r="L41" i="4" s="1"/>
  <c r="H41" i="4"/>
  <c r="G41" i="4"/>
  <c r="F41" i="4"/>
  <c r="I40" i="4"/>
  <c r="J40" i="4" s="1"/>
  <c r="K40" i="4" s="1"/>
  <c r="L40" i="4" s="1"/>
  <c r="H40" i="4"/>
  <c r="G40" i="4"/>
  <c r="F40" i="4"/>
  <c r="G39" i="4"/>
  <c r="F39" i="4"/>
  <c r="G38" i="4"/>
  <c r="F38" i="4"/>
  <c r="G37" i="4"/>
  <c r="F37" i="4"/>
  <c r="I34" i="4"/>
  <c r="I33" i="4"/>
  <c r="I29" i="4"/>
  <c r="H29" i="4"/>
  <c r="G29" i="4"/>
  <c r="I28" i="4"/>
  <c r="G28" i="4"/>
  <c r="G27" i="4"/>
  <c r="J24" i="4"/>
  <c r="J34" i="4" s="1"/>
  <c r="G24" i="4"/>
  <c r="H34" i="4" s="1"/>
  <c r="F24" i="4"/>
  <c r="J23" i="4"/>
  <c r="J33" i="4" s="1"/>
  <c r="G23" i="4"/>
  <c r="H33" i="4" s="1"/>
  <c r="F23" i="4"/>
  <c r="G22" i="4"/>
  <c r="F22" i="4"/>
  <c r="J19" i="4"/>
  <c r="J29" i="4" s="1"/>
  <c r="J18" i="4"/>
  <c r="J28" i="4" s="1"/>
  <c r="G13" i="4"/>
  <c r="F13" i="4"/>
  <c r="E13" i="4"/>
  <c r="I9" i="4"/>
  <c r="H9" i="4"/>
  <c r="H39" i="4" s="1"/>
  <c r="I8" i="4"/>
  <c r="H8" i="4"/>
  <c r="H288" i="3"/>
  <c r="I285" i="3"/>
  <c r="J285" i="3" s="1"/>
  <c r="K285" i="3" s="1"/>
  <c r="L285" i="3" s="1"/>
  <c r="J268" i="3"/>
  <c r="I268" i="3"/>
  <c r="H268" i="3"/>
  <c r="K267" i="3"/>
  <c r="K266" i="3" s="1"/>
  <c r="J266" i="3"/>
  <c r="I266" i="3"/>
  <c r="H266" i="3"/>
  <c r="J264" i="3"/>
  <c r="I264" i="3"/>
  <c r="H264" i="3"/>
  <c r="K263" i="3"/>
  <c r="K262" i="3" s="1"/>
  <c r="J262" i="3"/>
  <c r="I262" i="3"/>
  <c r="H262" i="3"/>
  <c r="J260" i="3"/>
  <c r="I260" i="3"/>
  <c r="H260" i="3"/>
  <c r="K259" i="3"/>
  <c r="K258" i="3" s="1"/>
  <c r="J258" i="3"/>
  <c r="I258" i="3"/>
  <c r="H258" i="3"/>
  <c r="L256" i="3"/>
  <c r="K256" i="3"/>
  <c r="J256" i="3"/>
  <c r="I256" i="3"/>
  <c r="H256" i="3"/>
  <c r="L254" i="3"/>
  <c r="K254" i="3"/>
  <c r="J254" i="3"/>
  <c r="I254" i="3"/>
  <c r="H254" i="3"/>
  <c r="L252" i="3"/>
  <c r="K252" i="3"/>
  <c r="J252" i="3"/>
  <c r="I252" i="3"/>
  <c r="H252" i="3"/>
  <c r="L250" i="3"/>
  <c r="K250" i="3"/>
  <c r="J250" i="3"/>
  <c r="I250" i="3"/>
  <c r="H250" i="3"/>
  <c r="J243" i="3"/>
  <c r="J40" i="3" s="1"/>
  <c r="I243" i="3"/>
  <c r="I40" i="3" s="1"/>
  <c r="H243" i="3"/>
  <c r="H40" i="3" s="1"/>
  <c r="G243" i="3"/>
  <c r="J242" i="3"/>
  <c r="J39" i="3" s="1"/>
  <c r="I242" i="3"/>
  <c r="I39" i="3" s="1"/>
  <c r="H242" i="3"/>
  <c r="H39" i="3" s="1"/>
  <c r="G242" i="3"/>
  <c r="J241" i="3"/>
  <c r="J38" i="3" s="1"/>
  <c r="I241" i="3"/>
  <c r="I38" i="3" s="1"/>
  <c r="H241" i="3"/>
  <c r="H38" i="3" s="1"/>
  <c r="G241" i="3"/>
  <c r="L240" i="3"/>
  <c r="L22" i="4" s="1"/>
  <c r="K240" i="3"/>
  <c r="K22" i="4" s="1"/>
  <c r="J240" i="3"/>
  <c r="J22" i="4" s="1"/>
  <c r="I240" i="3"/>
  <c r="I22" i="4" s="1"/>
  <c r="H240" i="3"/>
  <c r="H22" i="4" s="1"/>
  <c r="G240" i="3"/>
  <c r="L239" i="3"/>
  <c r="L17" i="4" s="1"/>
  <c r="K239" i="3"/>
  <c r="K17" i="4" s="1"/>
  <c r="J239" i="3"/>
  <c r="J17" i="4" s="1"/>
  <c r="I239" i="3"/>
  <c r="I17" i="4" s="1"/>
  <c r="H239" i="3"/>
  <c r="H17" i="4" s="1"/>
  <c r="G239" i="3"/>
  <c r="G238" i="3"/>
  <c r="E236" i="3"/>
  <c r="G221" i="3"/>
  <c r="F221" i="3"/>
  <c r="E221" i="3"/>
  <c r="H220" i="3"/>
  <c r="G211" i="3"/>
  <c r="F211" i="3"/>
  <c r="H210" i="3"/>
  <c r="I210" i="3" s="1"/>
  <c r="J210" i="3" s="1"/>
  <c r="K210" i="3" s="1"/>
  <c r="L210" i="3" s="1"/>
  <c r="G207" i="3"/>
  <c r="F207" i="3"/>
  <c r="E207" i="3"/>
  <c r="G200" i="3"/>
  <c r="H197" i="3" s="1"/>
  <c r="F200" i="3"/>
  <c r="G184" i="3"/>
  <c r="H180" i="3" s="1"/>
  <c r="F184" i="3"/>
  <c r="H183" i="3"/>
  <c r="I183" i="3" s="1"/>
  <c r="H182" i="3"/>
  <c r="G177" i="3"/>
  <c r="H174" i="3" s="1"/>
  <c r="F177" i="3"/>
  <c r="G169" i="3"/>
  <c r="G171" i="3" s="1"/>
  <c r="F169" i="3"/>
  <c r="F170" i="3" s="1"/>
  <c r="E169" i="3"/>
  <c r="E170" i="3" s="1"/>
  <c r="E157" i="3"/>
  <c r="L162" i="3" s="1"/>
  <c r="G155" i="3"/>
  <c r="G154" i="3" s="1"/>
  <c r="G148" i="3"/>
  <c r="H148" i="3" s="1"/>
  <c r="I148" i="3" s="1"/>
  <c r="J148" i="3" s="1"/>
  <c r="K148" i="3" s="1"/>
  <c r="L148" i="3" s="1"/>
  <c r="F148" i="3"/>
  <c r="E148" i="3"/>
  <c r="G146" i="3"/>
  <c r="H143" i="3" s="1"/>
  <c r="F146" i="3"/>
  <c r="H135" i="3"/>
  <c r="I135" i="3" s="1"/>
  <c r="J135" i="3" s="1"/>
  <c r="G126" i="3"/>
  <c r="G123" i="3"/>
  <c r="G121" i="3"/>
  <c r="G122" i="3" s="1"/>
  <c r="G113" i="3"/>
  <c r="H111" i="3" s="1"/>
  <c r="F113" i="3"/>
  <c r="G101" i="3"/>
  <c r="H99" i="3" s="1"/>
  <c r="F101" i="3"/>
  <c r="C86" i="3"/>
  <c r="J83" i="3"/>
  <c r="J84" i="3" s="1"/>
  <c r="I83" i="3"/>
  <c r="I84" i="3" s="1"/>
  <c r="H83" i="3"/>
  <c r="H84" i="3" s="1"/>
  <c r="C80" i="3"/>
  <c r="C79" i="3"/>
  <c r="G66" i="3"/>
  <c r="H65" i="3"/>
  <c r="I65" i="3" s="1"/>
  <c r="J65" i="3" s="1"/>
  <c r="K65" i="3" s="1"/>
  <c r="L65" i="3" s="1"/>
  <c r="F215" i="3"/>
  <c r="H191" i="3"/>
  <c r="C45" i="3"/>
  <c r="C44" i="3"/>
  <c r="K41" i="3"/>
  <c r="L41" i="3" s="1"/>
  <c r="G40" i="3"/>
  <c r="G39" i="3"/>
  <c r="G37" i="3"/>
  <c r="H26" i="3"/>
  <c r="I26" i="3" s="1"/>
  <c r="J26" i="3" s="1"/>
  <c r="K26" i="3" s="1"/>
  <c r="L26" i="3" s="1"/>
  <c r="G20" i="3"/>
  <c r="G23" i="3" s="1"/>
  <c r="G16" i="3"/>
  <c r="G15" i="3"/>
  <c r="H15" i="3" s="1"/>
  <c r="C2" i="3"/>
  <c r="D157" i="1"/>
  <c r="J163" i="1" s="1"/>
  <c r="E154" i="1"/>
  <c r="F154" i="1"/>
  <c r="E155" i="1"/>
  <c r="F155" i="1"/>
  <c r="H88" i="3" l="1"/>
  <c r="H16" i="3"/>
  <c r="H45" i="3" s="1"/>
  <c r="F16" i="3"/>
  <c r="F34" i="4"/>
  <c r="K242" i="3"/>
  <c r="K39" i="3" s="1"/>
  <c r="K24" i="4"/>
  <c r="K34" i="4" s="1"/>
  <c r="G34" i="4"/>
  <c r="L259" i="3"/>
  <c r="L258" i="3" s="1"/>
  <c r="G32" i="4"/>
  <c r="K241" i="3"/>
  <c r="K38" i="3" s="1"/>
  <c r="J8" i="4"/>
  <c r="J38" i="4" s="1"/>
  <c r="F33" i="4"/>
  <c r="K260" i="3"/>
  <c r="I39" i="4"/>
  <c r="J9" i="4"/>
  <c r="J39" i="4" s="1"/>
  <c r="F14" i="4"/>
  <c r="K23" i="4"/>
  <c r="J163" i="3"/>
  <c r="G14" i="4"/>
  <c r="K19" i="4"/>
  <c r="L19" i="4" s="1"/>
  <c r="I38" i="4"/>
  <c r="G33" i="4"/>
  <c r="G212" i="3"/>
  <c r="G217" i="3" s="1"/>
  <c r="G170" i="3"/>
  <c r="H170" i="3" s="1"/>
  <c r="I170" i="3" s="1"/>
  <c r="J170" i="3" s="1"/>
  <c r="K170" i="3" s="1"/>
  <c r="L170" i="3" s="1"/>
  <c r="G124" i="3"/>
  <c r="G127" i="3" s="1"/>
  <c r="G61" i="3"/>
  <c r="K162" i="3"/>
  <c r="K264" i="3"/>
  <c r="F15" i="3"/>
  <c r="E15" i="3" s="1"/>
  <c r="L160" i="3"/>
  <c r="H160" i="3"/>
  <c r="L267" i="3"/>
  <c r="L268" i="3" s="1"/>
  <c r="G103" i="3"/>
  <c r="G108" i="3" s="1"/>
  <c r="L263" i="3"/>
  <c r="L264" i="3" s="1"/>
  <c r="F212" i="3"/>
  <c r="F217" i="3" s="1"/>
  <c r="F216" i="3" s="1"/>
  <c r="K243" i="3"/>
  <c r="K40" i="3" s="1"/>
  <c r="K268" i="3"/>
  <c r="G45" i="3"/>
  <c r="F136" i="3"/>
  <c r="G38" i="3"/>
  <c r="G136" i="3"/>
  <c r="L29" i="4"/>
  <c r="K9" i="4"/>
  <c r="K29" i="4"/>
  <c r="J11" i="4"/>
  <c r="K11" i="4" s="1"/>
  <c r="L11" i="4" s="1"/>
  <c r="F32" i="4"/>
  <c r="J12" i="4"/>
  <c r="K12" i="4" s="1"/>
  <c r="L12" i="4" s="1"/>
  <c r="K18" i="4"/>
  <c r="L24" i="4"/>
  <c r="L34" i="4" s="1"/>
  <c r="H38" i="4"/>
  <c r="H72" i="3"/>
  <c r="I72" i="3" s="1"/>
  <c r="J72" i="3" s="1"/>
  <c r="K72" i="3" s="1"/>
  <c r="L72" i="3" s="1"/>
  <c r="I16" i="3"/>
  <c r="I182" i="3"/>
  <c r="H89" i="3"/>
  <c r="F137" i="3"/>
  <c r="J183" i="3"/>
  <c r="I283" i="3"/>
  <c r="I88" i="3"/>
  <c r="I15" i="3"/>
  <c r="H44" i="3"/>
  <c r="G118" i="3"/>
  <c r="G117" i="3"/>
  <c r="H117" i="3" s="1"/>
  <c r="I117" i="3" s="1"/>
  <c r="J117" i="3" s="1"/>
  <c r="K117" i="3" s="1"/>
  <c r="L117" i="3" s="1"/>
  <c r="G137" i="3"/>
  <c r="G215" i="3"/>
  <c r="H59" i="3"/>
  <c r="H86" i="3" s="1"/>
  <c r="G32" i="3"/>
  <c r="G34" i="3" s="1"/>
  <c r="G27" i="3"/>
  <c r="H71" i="3"/>
  <c r="I71" i="3" s="1"/>
  <c r="J71" i="3" s="1"/>
  <c r="K71" i="3" s="1"/>
  <c r="L71" i="3" s="1"/>
  <c r="K135" i="3"/>
  <c r="K163" i="3"/>
  <c r="I220" i="3"/>
  <c r="G44" i="3"/>
  <c r="L163" i="3"/>
  <c r="H161" i="3"/>
  <c r="E171" i="3"/>
  <c r="H283" i="3"/>
  <c r="I161" i="3"/>
  <c r="F171" i="3"/>
  <c r="J161" i="3"/>
  <c r="G53" i="3"/>
  <c r="G68" i="3" s="1"/>
  <c r="K161" i="3"/>
  <c r="L161" i="3"/>
  <c r="I162" i="3"/>
  <c r="J162" i="3"/>
  <c r="I160" i="3"/>
  <c r="K160" i="1"/>
  <c r="G161" i="1"/>
  <c r="H162" i="1"/>
  <c r="I163" i="1"/>
  <c r="K161" i="1"/>
  <c r="I161" i="1"/>
  <c r="K163" i="1"/>
  <c r="J161" i="1"/>
  <c r="H161" i="1"/>
  <c r="G160" i="1"/>
  <c r="I162" i="1"/>
  <c r="H160" i="1"/>
  <c r="J162" i="1"/>
  <c r="I160" i="1"/>
  <c r="I166" i="1" s="1"/>
  <c r="I145" i="1" s="1"/>
  <c r="K162" i="1"/>
  <c r="J160" i="1"/>
  <c r="G135" i="1"/>
  <c r="H135" i="1" s="1"/>
  <c r="F126" i="1"/>
  <c r="F123" i="1"/>
  <c r="F121" i="1"/>
  <c r="F122" i="1" s="1"/>
  <c r="F113" i="1"/>
  <c r="G111" i="1" s="1"/>
  <c r="E113" i="1"/>
  <c r="E101" i="1"/>
  <c r="F101" i="1"/>
  <c r="G99" i="1" s="1"/>
  <c r="F140" i="1"/>
  <c r="E140" i="1" s="1"/>
  <c r="D140" i="1" s="1"/>
  <c r="D141" i="1"/>
  <c r="F141" i="1"/>
  <c r="G141" i="1" s="1"/>
  <c r="H141" i="1" s="1"/>
  <c r="I141" i="1" s="1"/>
  <c r="J141" i="1" s="1"/>
  <c r="K141" i="1" s="1"/>
  <c r="E146" i="1"/>
  <c r="F146" i="1"/>
  <c r="G143" i="1" s="1"/>
  <c r="L241" i="3" l="1"/>
  <c r="L38" i="3" s="1"/>
  <c r="L260" i="3"/>
  <c r="F45" i="3"/>
  <c r="E16" i="3"/>
  <c r="K39" i="4"/>
  <c r="E44" i="3"/>
  <c r="D15" i="3"/>
  <c r="K33" i="4"/>
  <c r="L23" i="4"/>
  <c r="L33" i="4" s="1"/>
  <c r="G129" i="3"/>
  <c r="G216" i="3"/>
  <c r="H216" i="3" s="1"/>
  <c r="I216" i="3" s="1"/>
  <c r="H166" i="3"/>
  <c r="H145" i="3" s="1"/>
  <c r="H146" i="3" s="1"/>
  <c r="H51" i="3" s="1"/>
  <c r="J160" i="3"/>
  <c r="J166" i="3" s="1"/>
  <c r="J145" i="3" s="1"/>
  <c r="F44" i="3"/>
  <c r="L262" i="3"/>
  <c r="L242" i="3"/>
  <c r="L39" i="3" s="1"/>
  <c r="L266" i="3"/>
  <c r="L243" i="3"/>
  <c r="L40" i="3" s="1"/>
  <c r="K8" i="4"/>
  <c r="K38" i="4" s="1"/>
  <c r="K28" i="4"/>
  <c r="L18" i="4"/>
  <c r="L9" i="4"/>
  <c r="L39" i="4" s="1"/>
  <c r="J220" i="3"/>
  <c r="J15" i="3"/>
  <c r="I44" i="3"/>
  <c r="I166" i="3"/>
  <c r="I145" i="3" s="1"/>
  <c r="K160" i="3"/>
  <c r="H215" i="3"/>
  <c r="I59" i="3"/>
  <c r="K183" i="3"/>
  <c r="J283" i="3"/>
  <c r="J88" i="3"/>
  <c r="G29" i="3"/>
  <c r="G41" i="3"/>
  <c r="L135" i="3"/>
  <c r="I89" i="3"/>
  <c r="J182" i="3"/>
  <c r="I45" i="3"/>
  <c r="J16" i="3"/>
  <c r="G166" i="1"/>
  <c r="G145" i="1" s="1"/>
  <c r="H166" i="1"/>
  <c r="H145" i="1" s="1"/>
  <c r="F103" i="1"/>
  <c r="F108" i="1" s="1"/>
  <c r="F118" i="1"/>
  <c r="F124" i="1"/>
  <c r="F127" i="1" s="1"/>
  <c r="I135" i="1"/>
  <c r="F117" i="1"/>
  <c r="G117" i="1" s="1"/>
  <c r="H117" i="1" s="1"/>
  <c r="I117" i="1" s="1"/>
  <c r="J117" i="1" s="1"/>
  <c r="K117" i="1" s="1"/>
  <c r="G140" i="1"/>
  <c r="H140" i="1" s="1"/>
  <c r="I140" i="1" s="1"/>
  <c r="J140" i="1" s="1"/>
  <c r="K140" i="1" s="1"/>
  <c r="H217" i="3" l="1"/>
  <c r="E45" i="3"/>
  <c r="D16" i="3"/>
  <c r="I143" i="3"/>
  <c r="I146" i="3" s="1"/>
  <c r="I51" i="3" s="1"/>
  <c r="L8" i="4"/>
  <c r="L38" i="4" s="1"/>
  <c r="L28" i="4"/>
  <c r="J89" i="3"/>
  <c r="K182" i="3"/>
  <c r="K220" i="3"/>
  <c r="I215" i="3"/>
  <c r="I217" i="3" s="1"/>
  <c r="J59" i="3"/>
  <c r="I86" i="3"/>
  <c r="F276" i="3"/>
  <c r="F181" i="3"/>
  <c r="G276" i="3"/>
  <c r="G181" i="3"/>
  <c r="K16" i="3"/>
  <c r="J45" i="3"/>
  <c r="J216" i="3"/>
  <c r="E276" i="3"/>
  <c r="E181" i="3"/>
  <c r="L183" i="3"/>
  <c r="K283" i="3"/>
  <c r="K88" i="3"/>
  <c r="J44" i="3"/>
  <c r="K15" i="3"/>
  <c r="J135" i="1"/>
  <c r="F238" i="1"/>
  <c r="G239" i="1"/>
  <c r="I23" i="2"/>
  <c r="J23" i="2" s="1"/>
  <c r="I8" i="2"/>
  <c r="H33" i="2"/>
  <c r="I250" i="1"/>
  <c r="H252" i="1"/>
  <c r="H239" i="1" s="1"/>
  <c r="G252" i="1"/>
  <c r="H250" i="1"/>
  <c r="G250" i="1"/>
  <c r="H240" i="1"/>
  <c r="F240" i="1"/>
  <c r="F239" i="1"/>
  <c r="H256" i="1"/>
  <c r="H254" i="1"/>
  <c r="G256" i="1"/>
  <c r="G240" i="1" s="1"/>
  <c r="G254" i="1"/>
  <c r="K39" i="2"/>
  <c r="J39" i="2"/>
  <c r="I39" i="2"/>
  <c r="H39" i="2"/>
  <c r="G39" i="2"/>
  <c r="K34" i="2"/>
  <c r="J34" i="2"/>
  <c r="I34" i="2"/>
  <c r="H34" i="2"/>
  <c r="G34" i="2"/>
  <c r="G33" i="2"/>
  <c r="K29" i="2"/>
  <c r="J29" i="2"/>
  <c r="I29" i="2"/>
  <c r="H29" i="2"/>
  <c r="G29" i="2"/>
  <c r="K28" i="2"/>
  <c r="J28" i="2"/>
  <c r="I28" i="2"/>
  <c r="H28" i="2"/>
  <c r="G28" i="2"/>
  <c r="F14" i="2"/>
  <c r="E14" i="2"/>
  <c r="J12" i="2"/>
  <c r="K12" i="2" s="1"/>
  <c r="J11" i="2"/>
  <c r="K11" i="2" s="1"/>
  <c r="I12" i="2"/>
  <c r="I11" i="2"/>
  <c r="K41" i="2"/>
  <c r="J41" i="2"/>
  <c r="J40" i="2"/>
  <c r="K40" i="2" s="1"/>
  <c r="I41" i="2"/>
  <c r="I40" i="2"/>
  <c r="H41" i="2"/>
  <c r="G41" i="2"/>
  <c r="H40" i="2"/>
  <c r="G40" i="2"/>
  <c r="F40" i="2"/>
  <c r="F41" i="2"/>
  <c r="K9" i="2"/>
  <c r="J9" i="2"/>
  <c r="I9" i="2"/>
  <c r="H9" i="2"/>
  <c r="G9" i="2"/>
  <c r="G8" i="2"/>
  <c r="J24" i="2"/>
  <c r="K24" i="2" s="1"/>
  <c r="I24" i="2"/>
  <c r="J143" i="3" l="1"/>
  <c r="J146" i="3" s="1"/>
  <c r="K143" i="3" s="1"/>
  <c r="H27" i="4"/>
  <c r="H17" i="2"/>
  <c r="G22" i="2"/>
  <c r="G32" i="2" s="1"/>
  <c r="H32" i="4"/>
  <c r="H22" i="2"/>
  <c r="K44" i="3"/>
  <c r="L15" i="3"/>
  <c r="L44" i="3" s="1"/>
  <c r="L220" i="3"/>
  <c r="K89" i="3"/>
  <c r="L182" i="3"/>
  <c r="L89" i="3" s="1"/>
  <c r="L283" i="3"/>
  <c r="L88" i="3"/>
  <c r="F281" i="3"/>
  <c r="F278" i="3"/>
  <c r="J215" i="3"/>
  <c r="J217" i="3" s="1"/>
  <c r="K59" i="3"/>
  <c r="E281" i="3"/>
  <c r="E278" i="3"/>
  <c r="J86" i="3"/>
  <c r="L16" i="3"/>
  <c r="L45" i="3" s="1"/>
  <c r="K45" i="3"/>
  <c r="K216" i="3"/>
  <c r="G281" i="3"/>
  <c r="G278" i="3"/>
  <c r="K135" i="1"/>
  <c r="G17" i="2"/>
  <c r="G27" i="2" s="1"/>
  <c r="K23" i="2"/>
  <c r="K8" i="2" s="1"/>
  <c r="J8" i="2"/>
  <c r="J33" i="2"/>
  <c r="J38" i="2"/>
  <c r="K38" i="2"/>
  <c r="K33" i="2"/>
  <c r="I33" i="2"/>
  <c r="H8" i="2"/>
  <c r="G38" i="2"/>
  <c r="J256" i="1"/>
  <c r="J240" i="1" s="1"/>
  <c r="J254" i="1"/>
  <c r="I254" i="1"/>
  <c r="I256" i="1"/>
  <c r="I240" i="1" s="1"/>
  <c r="I252" i="1"/>
  <c r="I239" i="1" s="1"/>
  <c r="J19" i="2"/>
  <c r="K19" i="2" s="1"/>
  <c r="I19" i="2"/>
  <c r="J18" i="2"/>
  <c r="K18" i="2" s="1"/>
  <c r="I18" i="2"/>
  <c r="E41" i="2"/>
  <c r="E40" i="2"/>
  <c r="F39" i="2"/>
  <c r="E39" i="2"/>
  <c r="F38" i="2"/>
  <c r="E38" i="2"/>
  <c r="F37" i="2"/>
  <c r="E37" i="2"/>
  <c r="F29" i="2"/>
  <c r="E29" i="2"/>
  <c r="F28" i="2"/>
  <c r="E28" i="2"/>
  <c r="F27" i="2"/>
  <c r="E27" i="2"/>
  <c r="F24" i="2"/>
  <c r="E24" i="2"/>
  <c r="D24" i="2"/>
  <c r="F23" i="2"/>
  <c r="E23" i="2"/>
  <c r="D23" i="2"/>
  <c r="F22" i="2"/>
  <c r="E22" i="2"/>
  <c r="D22" i="2"/>
  <c r="F13" i="2"/>
  <c r="E13" i="2"/>
  <c r="D13" i="2"/>
  <c r="J51" i="3" l="1"/>
  <c r="H7" i="2"/>
  <c r="H13" i="2" s="1"/>
  <c r="H32" i="2"/>
  <c r="I32" i="4"/>
  <c r="I17" i="2"/>
  <c r="I27" i="2" s="1"/>
  <c r="I22" i="2"/>
  <c r="I32" i="2" s="1"/>
  <c r="J32" i="4"/>
  <c r="J22" i="2"/>
  <c r="I27" i="4"/>
  <c r="I7" i="4"/>
  <c r="H7" i="4"/>
  <c r="K215" i="3"/>
  <c r="K217" i="3" s="1"/>
  <c r="L59" i="3"/>
  <c r="L215" i="3" s="1"/>
  <c r="K86" i="3"/>
  <c r="L216" i="3"/>
  <c r="G7" i="2"/>
  <c r="H27" i="2"/>
  <c r="H38" i="2"/>
  <c r="I38" i="2"/>
  <c r="K256" i="1"/>
  <c r="K240" i="1" s="1"/>
  <c r="K254" i="1"/>
  <c r="J252" i="1"/>
  <c r="J239" i="1" s="1"/>
  <c r="J250" i="1"/>
  <c r="F33" i="2"/>
  <c r="F32" i="2"/>
  <c r="E32" i="2"/>
  <c r="E34" i="2"/>
  <c r="E33" i="2"/>
  <c r="F34" i="2"/>
  <c r="H37" i="2" l="1"/>
  <c r="I7" i="2"/>
  <c r="I37" i="2" s="1"/>
  <c r="K32" i="4"/>
  <c r="J32" i="2"/>
  <c r="K22" i="2"/>
  <c r="K32" i="2" s="1"/>
  <c r="L32" i="4"/>
  <c r="I37" i="4"/>
  <c r="I13" i="4"/>
  <c r="J17" i="2"/>
  <c r="J27" i="2" s="1"/>
  <c r="H13" i="4"/>
  <c r="H14" i="4" s="1"/>
  <c r="H37" i="3" s="1"/>
  <c r="H37" i="4"/>
  <c r="J27" i="4"/>
  <c r="J7" i="4"/>
  <c r="L86" i="3"/>
  <c r="L217" i="3"/>
  <c r="G37" i="2"/>
  <c r="G13" i="2"/>
  <c r="H14" i="2" s="1"/>
  <c r="K252" i="1"/>
  <c r="K239" i="1" s="1"/>
  <c r="K250" i="1"/>
  <c r="I83" i="1"/>
  <c r="H83" i="1"/>
  <c r="C44" i="1"/>
  <c r="D169" i="1"/>
  <c r="E169" i="1"/>
  <c r="F169" i="1"/>
  <c r="G288" i="1"/>
  <c r="H285" i="1"/>
  <c r="I285" i="1" s="1"/>
  <c r="J285" i="1" s="1"/>
  <c r="K285" i="1" s="1"/>
  <c r="F274" i="1"/>
  <c r="G274" i="1" s="1"/>
  <c r="H274" i="1" s="1"/>
  <c r="I274" i="1" s="1"/>
  <c r="J274" i="1" s="1"/>
  <c r="K274" i="1" s="1"/>
  <c r="D274" i="1"/>
  <c r="F273" i="1"/>
  <c r="G273" i="1" s="1"/>
  <c r="H273" i="1" s="1"/>
  <c r="I273" i="1" s="1"/>
  <c r="J273" i="1" s="1"/>
  <c r="K273" i="1" s="1"/>
  <c r="J267" i="1"/>
  <c r="K267" i="1" s="1"/>
  <c r="J263" i="1"/>
  <c r="K263" i="1" s="1"/>
  <c r="J259" i="1"/>
  <c r="K259" i="1" s="1"/>
  <c r="F243" i="1"/>
  <c r="F242" i="1"/>
  <c r="F241" i="1"/>
  <c r="D236" i="1"/>
  <c r="G220" i="1"/>
  <c r="H220" i="1" s="1"/>
  <c r="I220" i="1" s="1"/>
  <c r="J220" i="1" s="1"/>
  <c r="K220" i="1" s="1"/>
  <c r="F221" i="1"/>
  <c r="E221" i="1"/>
  <c r="D221" i="1"/>
  <c r="G210" i="1"/>
  <c r="H210" i="1" s="1"/>
  <c r="I210" i="1" s="1"/>
  <c r="J210" i="1" s="1"/>
  <c r="K210" i="1" s="1"/>
  <c r="F211" i="1"/>
  <c r="E211" i="1"/>
  <c r="E212" i="1" s="1"/>
  <c r="D207" i="1"/>
  <c r="F207" i="1"/>
  <c r="E207" i="1"/>
  <c r="F205" i="1"/>
  <c r="G205" i="1" s="1"/>
  <c r="H205" i="1" s="1"/>
  <c r="I205" i="1" s="1"/>
  <c r="J205" i="1" s="1"/>
  <c r="K205" i="1" s="1"/>
  <c r="D205" i="1"/>
  <c r="F204" i="1"/>
  <c r="E204" i="1" s="1"/>
  <c r="D204" i="1" s="1"/>
  <c r="F200" i="1"/>
  <c r="G197" i="1" s="1"/>
  <c r="E200" i="1"/>
  <c r="F188" i="1"/>
  <c r="G188" i="1" s="1"/>
  <c r="H188" i="1" s="1"/>
  <c r="I188" i="1" s="1"/>
  <c r="J188" i="1" s="1"/>
  <c r="K188" i="1" s="1"/>
  <c r="D188" i="1"/>
  <c r="F187" i="1"/>
  <c r="E187" i="1" s="1"/>
  <c r="D187" i="1" s="1"/>
  <c r="J7" i="2" l="1"/>
  <c r="J37" i="2" s="1"/>
  <c r="I13" i="2"/>
  <c r="I14" i="2" s="1"/>
  <c r="I247" i="1" s="1"/>
  <c r="I246" i="1" s="1"/>
  <c r="J37" i="4"/>
  <c r="J13" i="4"/>
  <c r="J14" i="4" s="1"/>
  <c r="J37" i="3" s="1"/>
  <c r="K27" i="4"/>
  <c r="K7" i="4"/>
  <c r="K17" i="2"/>
  <c r="K27" i="2" s="1"/>
  <c r="I14" i="4"/>
  <c r="I247" i="3"/>
  <c r="H247" i="1"/>
  <c r="H248" i="1" s="1"/>
  <c r="H37" i="1"/>
  <c r="G14" i="2"/>
  <c r="G37" i="1" s="1"/>
  <c r="E273" i="1"/>
  <c r="D273" i="1" s="1"/>
  <c r="E217" i="1"/>
  <c r="F212" i="1"/>
  <c r="F217" i="1" s="1"/>
  <c r="G204" i="1"/>
  <c r="H204" i="1" s="1"/>
  <c r="I204" i="1" s="1"/>
  <c r="J204" i="1" s="1"/>
  <c r="K204" i="1" s="1"/>
  <c r="G187" i="1"/>
  <c r="G183" i="1"/>
  <c r="G182" i="1"/>
  <c r="H182" i="1" s="1"/>
  <c r="F184" i="1"/>
  <c r="G180" i="1" s="1"/>
  <c r="E184" i="1"/>
  <c r="F177" i="1"/>
  <c r="G174" i="1" s="1"/>
  <c r="E177" i="1"/>
  <c r="F171" i="1"/>
  <c r="E171" i="1"/>
  <c r="D171" i="1"/>
  <c r="I84" i="1"/>
  <c r="H84" i="1"/>
  <c r="G83" i="1"/>
  <c r="G84" i="1" s="1"/>
  <c r="F148" i="1"/>
  <c r="G148" i="1" s="1"/>
  <c r="G146" i="1" s="1"/>
  <c r="H143" i="1" s="1"/>
  <c r="E148" i="1"/>
  <c r="D148" i="1"/>
  <c r="F16" i="1"/>
  <c r="G16" i="1" s="1"/>
  <c r="G72" i="1" s="1"/>
  <c r="H72" i="1" s="1"/>
  <c r="I72" i="1" s="1"/>
  <c r="J72" i="1" s="1"/>
  <c r="K72" i="1" s="1"/>
  <c r="F15" i="1"/>
  <c r="E15" i="1" s="1"/>
  <c r="C86" i="1"/>
  <c r="C80" i="1"/>
  <c r="C79" i="1"/>
  <c r="F57" i="1"/>
  <c r="E46" i="1"/>
  <c r="E136" i="1" s="1"/>
  <c r="F46" i="1"/>
  <c r="F136" i="1" s="1"/>
  <c r="E57" i="1"/>
  <c r="E59" i="1"/>
  <c r="E215" i="1" s="1"/>
  <c r="F59" i="1"/>
  <c r="F215" i="1" s="1"/>
  <c r="E66" i="1"/>
  <c r="F66" i="1"/>
  <c r="G65" i="1"/>
  <c r="H65" i="1" s="1"/>
  <c r="I65" i="1" s="1"/>
  <c r="J65" i="1" s="1"/>
  <c r="K65" i="1" s="1"/>
  <c r="G26" i="1"/>
  <c r="H26" i="1" s="1"/>
  <c r="I26" i="1" s="1"/>
  <c r="J26" i="1" s="1"/>
  <c r="K26" i="1" s="1"/>
  <c r="J41" i="1"/>
  <c r="K41" i="1" s="1"/>
  <c r="E20" i="1"/>
  <c r="E23" i="1" s="1"/>
  <c r="F20" i="1"/>
  <c r="F23" i="1" s="1"/>
  <c r="C2" i="1"/>
  <c r="D16" i="1"/>
  <c r="D20" i="1"/>
  <c r="D23" i="1" s="1"/>
  <c r="E37" i="1"/>
  <c r="F37" i="1"/>
  <c r="D39" i="1"/>
  <c r="E39" i="1"/>
  <c r="F39" i="1"/>
  <c r="D40" i="1"/>
  <c r="E40" i="1"/>
  <c r="F40" i="1"/>
  <c r="C45" i="1"/>
  <c r="E45" i="1"/>
  <c r="I37" i="3" l="1"/>
  <c r="I107" i="3" s="1"/>
  <c r="I37" i="1"/>
  <c r="I107" i="1" s="1"/>
  <c r="J13" i="2"/>
  <c r="J14" i="2" s="1"/>
  <c r="J247" i="1" s="1"/>
  <c r="J246" i="1" s="1"/>
  <c r="J107" i="3"/>
  <c r="K7" i="2"/>
  <c r="K13" i="2" s="1"/>
  <c r="J247" i="3"/>
  <c r="L7" i="4"/>
  <c r="L27" i="4"/>
  <c r="K37" i="4"/>
  <c r="K13" i="4"/>
  <c r="K14" i="4" s="1"/>
  <c r="K37" i="3" s="1"/>
  <c r="I238" i="3"/>
  <c r="I246" i="3"/>
  <c r="I248" i="3"/>
  <c r="H247" i="3"/>
  <c r="I248" i="1"/>
  <c r="H246" i="1"/>
  <c r="H238" i="1" s="1"/>
  <c r="I238" i="1"/>
  <c r="F137" i="1"/>
  <c r="E137" i="1"/>
  <c r="F129" i="1"/>
  <c r="H107" i="1"/>
  <c r="G247" i="1"/>
  <c r="G59" i="1"/>
  <c r="G86" i="1" s="1"/>
  <c r="I182" i="1"/>
  <c r="H89" i="1"/>
  <c r="G88" i="1"/>
  <c r="G283" i="1"/>
  <c r="G191" i="1"/>
  <c r="F53" i="1"/>
  <c r="E216" i="1"/>
  <c r="F216" i="1"/>
  <c r="G216" i="1" s="1"/>
  <c r="G89" i="1"/>
  <c r="H187" i="1"/>
  <c r="E61" i="1"/>
  <c r="H183" i="1"/>
  <c r="D170" i="1"/>
  <c r="E170" i="1"/>
  <c r="F170" i="1"/>
  <c r="G170" i="1" s="1"/>
  <c r="H170" i="1" s="1"/>
  <c r="I170" i="1" s="1"/>
  <c r="J170" i="1" s="1"/>
  <c r="K170" i="1" s="1"/>
  <c r="H148" i="1"/>
  <c r="H146" i="1" s="1"/>
  <c r="I143" i="1" s="1"/>
  <c r="E53" i="1"/>
  <c r="F38" i="1"/>
  <c r="E27" i="1"/>
  <c r="E29" i="1" s="1"/>
  <c r="E32" i="1"/>
  <c r="E34" i="1" s="1"/>
  <c r="F27" i="1"/>
  <c r="F29" i="1" s="1"/>
  <c r="F32" i="1"/>
  <c r="F34" i="1" s="1"/>
  <c r="D32" i="1"/>
  <c r="D34" i="1" s="1"/>
  <c r="D27" i="1"/>
  <c r="D29" i="1" s="1"/>
  <c r="F45" i="1"/>
  <c r="E38" i="1"/>
  <c r="D38" i="1"/>
  <c r="F44" i="1"/>
  <c r="H16" i="1"/>
  <c r="G45" i="1"/>
  <c r="E44" i="1"/>
  <c r="D15" i="1"/>
  <c r="G15" i="1"/>
  <c r="G71" i="1" s="1"/>
  <c r="H71" i="1" s="1"/>
  <c r="I71" i="1" s="1"/>
  <c r="J71" i="1" s="1"/>
  <c r="K71" i="1" s="1"/>
  <c r="K14" i="2" l="1"/>
  <c r="L247" i="3" s="1"/>
  <c r="J248" i="3"/>
  <c r="J246" i="3"/>
  <c r="J238" i="3" s="1"/>
  <c r="K37" i="2"/>
  <c r="K144" i="3"/>
  <c r="K247" i="3"/>
  <c r="K246" i="3" s="1"/>
  <c r="J37" i="1"/>
  <c r="J144" i="1" s="1"/>
  <c r="K164" i="1" s="1"/>
  <c r="L37" i="4"/>
  <c r="L13" i="4"/>
  <c r="L14" i="4" s="1"/>
  <c r="L37" i="3" s="1"/>
  <c r="L107" i="3" s="1"/>
  <c r="J248" i="1"/>
  <c r="H134" i="3"/>
  <c r="H107" i="3"/>
  <c r="H18" i="3"/>
  <c r="H60" i="3"/>
  <c r="H56" i="3"/>
  <c r="I56" i="3" s="1"/>
  <c r="J56" i="3" s="1"/>
  <c r="K56" i="3" s="1"/>
  <c r="H52" i="3"/>
  <c r="H50" i="3"/>
  <c r="I50" i="3" s="1"/>
  <c r="J50" i="3" s="1"/>
  <c r="K50" i="3" s="1"/>
  <c r="H49" i="3"/>
  <c r="I49" i="3" s="1"/>
  <c r="J49" i="3" s="1"/>
  <c r="K49" i="3" s="1"/>
  <c r="H33" i="3"/>
  <c r="H57" i="3"/>
  <c r="I57" i="3" s="1"/>
  <c r="J57" i="3" s="1"/>
  <c r="H238" i="3"/>
  <c r="H246" i="3"/>
  <c r="H248" i="3"/>
  <c r="J238" i="1"/>
  <c r="G134" i="1"/>
  <c r="H134" i="1" s="1"/>
  <c r="G49" i="1"/>
  <c r="H49" i="1" s="1"/>
  <c r="I49" i="1" s="1"/>
  <c r="G107" i="1"/>
  <c r="G246" i="1"/>
  <c r="G248" i="1"/>
  <c r="G215" i="1"/>
  <c r="G217" i="1" s="1"/>
  <c r="H59" i="1"/>
  <c r="I59" i="1" s="1"/>
  <c r="D181" i="1"/>
  <c r="D276" i="1"/>
  <c r="F181" i="1"/>
  <c r="F276" i="1"/>
  <c r="H283" i="1"/>
  <c r="H88" i="1"/>
  <c r="E181" i="1"/>
  <c r="E276" i="1"/>
  <c r="J182" i="1"/>
  <c r="I89" i="1"/>
  <c r="H216" i="1"/>
  <c r="I183" i="1"/>
  <c r="E68" i="1"/>
  <c r="I187" i="1"/>
  <c r="J187" i="1" s="1"/>
  <c r="K187" i="1" s="1"/>
  <c r="I148" i="1"/>
  <c r="I146" i="1" s="1"/>
  <c r="J143" i="1" s="1"/>
  <c r="D41" i="1"/>
  <c r="H45" i="1"/>
  <c r="I16" i="1"/>
  <c r="E41" i="1"/>
  <c r="G44" i="1"/>
  <c r="H15" i="1"/>
  <c r="K37" i="1" l="1"/>
  <c r="K144" i="1" s="1"/>
  <c r="K165" i="1" s="1"/>
  <c r="K166" i="1" s="1"/>
  <c r="K145" i="1" s="1"/>
  <c r="K247" i="1"/>
  <c r="K246" i="1" s="1"/>
  <c r="K238" i="1" s="1"/>
  <c r="K238" i="3"/>
  <c r="K107" i="3"/>
  <c r="K57" i="3"/>
  <c r="L57" i="3" s="1"/>
  <c r="K248" i="3"/>
  <c r="J107" i="1"/>
  <c r="J49" i="1"/>
  <c r="L49" i="3"/>
  <c r="L50" i="3"/>
  <c r="L56" i="3"/>
  <c r="H284" i="3"/>
  <c r="H76" i="3"/>
  <c r="I33" i="3"/>
  <c r="H63" i="3"/>
  <c r="I134" i="3"/>
  <c r="H20" i="3"/>
  <c r="H101" i="3"/>
  <c r="I18" i="3"/>
  <c r="H22" i="3"/>
  <c r="H169" i="3"/>
  <c r="H21" i="3"/>
  <c r="H177" i="3"/>
  <c r="I52" i="3"/>
  <c r="L246" i="3"/>
  <c r="L238" i="3" s="1"/>
  <c r="L248" i="3"/>
  <c r="I60" i="3"/>
  <c r="H80" i="3"/>
  <c r="L144" i="3"/>
  <c r="K83" i="3"/>
  <c r="K84" i="3" s="1"/>
  <c r="L164" i="3"/>
  <c r="K164" i="3"/>
  <c r="K166" i="3" s="1"/>
  <c r="K145" i="3" s="1"/>
  <c r="K146" i="3" s="1"/>
  <c r="G238" i="1"/>
  <c r="J164" i="1"/>
  <c r="J166" i="1" s="1"/>
  <c r="J145" i="1" s="1"/>
  <c r="I134" i="1"/>
  <c r="H215" i="1"/>
  <c r="H217" i="1" s="1"/>
  <c r="H86" i="1"/>
  <c r="K182" i="1"/>
  <c r="K89" i="1" s="1"/>
  <c r="J89" i="1"/>
  <c r="E278" i="1"/>
  <c r="E281" i="1"/>
  <c r="F278" i="1"/>
  <c r="F281" i="1"/>
  <c r="I283" i="1"/>
  <c r="I88" i="1"/>
  <c r="D281" i="1"/>
  <c r="D278" i="1"/>
  <c r="I86" i="1"/>
  <c r="I216" i="1"/>
  <c r="J59" i="1"/>
  <c r="J86" i="1" s="1"/>
  <c r="I215" i="1"/>
  <c r="J183" i="1"/>
  <c r="J148" i="1"/>
  <c r="I45" i="1"/>
  <c r="J16" i="1"/>
  <c r="F41" i="1"/>
  <c r="H44" i="1"/>
  <c r="I15" i="1"/>
  <c r="K107" i="1" l="1"/>
  <c r="K49" i="1"/>
  <c r="K248" i="1"/>
  <c r="H171" i="3"/>
  <c r="H31" i="3" s="1"/>
  <c r="H75" i="3" s="1"/>
  <c r="H175" i="3"/>
  <c r="H176" i="3" s="1"/>
  <c r="H79" i="3" s="1"/>
  <c r="I99" i="3"/>
  <c r="I101" i="3" s="1"/>
  <c r="H100" i="3"/>
  <c r="H47" i="3"/>
  <c r="L83" i="3"/>
  <c r="L84" i="3" s="1"/>
  <c r="L165" i="3"/>
  <c r="L166" i="3" s="1"/>
  <c r="L145" i="3" s="1"/>
  <c r="J18" i="3"/>
  <c r="I22" i="3"/>
  <c r="I169" i="3"/>
  <c r="I21" i="3"/>
  <c r="I20" i="3"/>
  <c r="J60" i="3"/>
  <c r="I80" i="3"/>
  <c r="I63" i="3"/>
  <c r="H23" i="3"/>
  <c r="H19" i="3"/>
  <c r="J134" i="3"/>
  <c r="I177" i="3"/>
  <c r="J52" i="3"/>
  <c r="I284" i="3"/>
  <c r="I289" i="3" s="1"/>
  <c r="I76" i="3"/>
  <c r="J33" i="3"/>
  <c r="I174" i="3"/>
  <c r="H103" i="3"/>
  <c r="L143" i="3"/>
  <c r="K51" i="3"/>
  <c r="H277" i="3"/>
  <c r="H289" i="3"/>
  <c r="H290" i="3" s="1"/>
  <c r="J146" i="1"/>
  <c r="K143" i="1" s="1"/>
  <c r="J134" i="1"/>
  <c r="J283" i="1"/>
  <c r="J88" i="1"/>
  <c r="J216" i="1"/>
  <c r="I217" i="1"/>
  <c r="K59" i="1"/>
  <c r="K215" i="1" s="1"/>
  <c r="J215" i="1"/>
  <c r="K183" i="1"/>
  <c r="K148" i="1"/>
  <c r="I44" i="1"/>
  <c r="J15" i="1"/>
  <c r="J45" i="1"/>
  <c r="K16" i="1"/>
  <c r="K45" i="1" s="1"/>
  <c r="H291" i="3" l="1"/>
  <c r="I288" i="3"/>
  <c r="J174" i="3"/>
  <c r="I171" i="3"/>
  <c r="I31" i="3" s="1"/>
  <c r="I75" i="3" s="1"/>
  <c r="I175" i="3"/>
  <c r="I176" i="3" s="1"/>
  <c r="I79" i="3" s="1"/>
  <c r="H32" i="3"/>
  <c r="H34" i="3" s="1"/>
  <c r="K60" i="3"/>
  <c r="J80" i="3"/>
  <c r="L146" i="3"/>
  <c r="L51" i="3" s="1"/>
  <c r="J63" i="3"/>
  <c r="H121" i="3"/>
  <c r="H122" i="3" s="1"/>
  <c r="I23" i="3"/>
  <c r="I19" i="3"/>
  <c r="H280" i="3"/>
  <c r="I277" i="3"/>
  <c r="K134" i="3"/>
  <c r="H55" i="3"/>
  <c r="H113" i="3"/>
  <c r="J22" i="3"/>
  <c r="J169" i="3"/>
  <c r="J21" i="3"/>
  <c r="J20" i="3"/>
  <c r="K18" i="3"/>
  <c r="J284" i="3"/>
  <c r="J289" i="3" s="1"/>
  <c r="J76" i="3"/>
  <c r="K33" i="3"/>
  <c r="I47" i="3"/>
  <c r="I100" i="3"/>
  <c r="J99" i="3"/>
  <c r="J101" i="3" s="1"/>
  <c r="J177" i="3"/>
  <c r="K52" i="3"/>
  <c r="I103" i="3"/>
  <c r="K146" i="1"/>
  <c r="K134" i="1"/>
  <c r="K86" i="1"/>
  <c r="K88" i="1"/>
  <c r="K283" i="1"/>
  <c r="K216" i="1"/>
  <c r="K217" i="1" s="1"/>
  <c r="J217" i="1"/>
  <c r="J44" i="1"/>
  <c r="K15" i="1"/>
  <c r="K44" i="1" s="1"/>
  <c r="I280" i="3" l="1"/>
  <c r="H78" i="3"/>
  <c r="I55" i="3"/>
  <c r="I126" i="3" s="1"/>
  <c r="L134" i="3"/>
  <c r="K80" i="3"/>
  <c r="L60" i="3"/>
  <c r="L80" i="3" s="1"/>
  <c r="J100" i="3"/>
  <c r="J47" i="3"/>
  <c r="K99" i="3"/>
  <c r="K101" i="3" s="1"/>
  <c r="J103" i="3"/>
  <c r="K63" i="3"/>
  <c r="K169" i="3"/>
  <c r="K21" i="3"/>
  <c r="L18" i="3"/>
  <c r="K22" i="3"/>
  <c r="K20" i="3"/>
  <c r="J23" i="3"/>
  <c r="J19" i="3"/>
  <c r="J277" i="3"/>
  <c r="I290" i="3"/>
  <c r="J288" i="3" s="1"/>
  <c r="H112" i="3"/>
  <c r="H48" i="3"/>
  <c r="I111" i="3"/>
  <c r="I113" i="3" s="1"/>
  <c r="K177" i="3"/>
  <c r="L52" i="3"/>
  <c r="L177" i="3" s="1"/>
  <c r="K174" i="3"/>
  <c r="I32" i="3"/>
  <c r="I34" i="3" s="1"/>
  <c r="J171" i="3"/>
  <c r="J31" i="3" s="1"/>
  <c r="J75" i="3" s="1"/>
  <c r="J175" i="3"/>
  <c r="J176" i="3" s="1"/>
  <c r="J79" i="3" s="1"/>
  <c r="I121" i="3"/>
  <c r="I122" i="3" s="1"/>
  <c r="K284" i="3"/>
  <c r="K289" i="3" s="1"/>
  <c r="L33" i="3"/>
  <c r="K76" i="3"/>
  <c r="H126" i="3"/>
  <c r="F61" i="1"/>
  <c r="I112" i="3" l="1"/>
  <c r="I48" i="3"/>
  <c r="I77" i="3" s="1"/>
  <c r="J111" i="3"/>
  <c r="J113" i="3" s="1"/>
  <c r="K23" i="3"/>
  <c r="K19" i="3"/>
  <c r="L169" i="3"/>
  <c r="L21" i="3"/>
  <c r="N18" i="3"/>
  <c r="L22" i="3"/>
  <c r="L20" i="3"/>
  <c r="L174" i="3"/>
  <c r="J121" i="3"/>
  <c r="J122" i="3" s="1"/>
  <c r="H123" i="3"/>
  <c r="H124" i="3" s="1"/>
  <c r="H127" i="3" s="1"/>
  <c r="H77" i="3"/>
  <c r="I291" i="3"/>
  <c r="L63" i="3"/>
  <c r="I78" i="3"/>
  <c r="J55" i="3"/>
  <c r="J126" i="3" s="1"/>
  <c r="L284" i="3"/>
  <c r="L289" i="3" s="1"/>
  <c r="L76" i="3"/>
  <c r="J290" i="3"/>
  <c r="K288" i="3" s="1"/>
  <c r="L99" i="3"/>
  <c r="L101" i="3" s="1"/>
  <c r="L103" i="3" s="1"/>
  <c r="K100" i="3"/>
  <c r="K47" i="3"/>
  <c r="K121" i="3" s="1"/>
  <c r="K122" i="3" s="1"/>
  <c r="K103" i="3"/>
  <c r="K171" i="3"/>
  <c r="K31" i="3" s="1"/>
  <c r="K75" i="3" s="1"/>
  <c r="K175" i="3"/>
  <c r="K176" i="3" s="1"/>
  <c r="K79" i="3" s="1"/>
  <c r="K277" i="3"/>
  <c r="J32" i="3"/>
  <c r="J34" i="3" s="1"/>
  <c r="J280" i="3"/>
  <c r="F68" i="1"/>
  <c r="K280" i="3" l="1"/>
  <c r="L277" i="3"/>
  <c r="J291" i="3"/>
  <c r="L100" i="3"/>
  <c r="L47" i="3"/>
  <c r="L121" i="3" s="1"/>
  <c r="L122" i="3" s="1"/>
  <c r="K290" i="3"/>
  <c r="L288" i="3" s="1"/>
  <c r="L175" i="3"/>
  <c r="L176" i="3" s="1"/>
  <c r="L79" i="3" s="1"/>
  <c r="L171" i="3"/>
  <c r="L31" i="3" s="1"/>
  <c r="L75" i="3" s="1"/>
  <c r="K32" i="3"/>
  <c r="K34" i="3" s="1"/>
  <c r="L23" i="3"/>
  <c r="L19" i="3"/>
  <c r="I123" i="3"/>
  <c r="I124" i="3" s="1"/>
  <c r="I127" i="3" s="1"/>
  <c r="J78" i="3"/>
  <c r="K55" i="3"/>
  <c r="J112" i="3"/>
  <c r="J48" i="3"/>
  <c r="J77" i="3" s="1"/>
  <c r="K111" i="3"/>
  <c r="K113" i="3" s="1"/>
  <c r="G18" i="1"/>
  <c r="G56" i="1"/>
  <c r="G57" i="1"/>
  <c r="G50" i="1"/>
  <c r="G60" i="1"/>
  <c r="G33" i="1"/>
  <c r="G284" i="1" s="1"/>
  <c r="G52" i="1"/>
  <c r="L280" i="3" l="1"/>
  <c r="K78" i="3"/>
  <c r="L55" i="3"/>
  <c r="L126" i="3" s="1"/>
  <c r="K112" i="3"/>
  <c r="K48" i="3"/>
  <c r="K77" i="3" s="1"/>
  <c r="L111" i="3"/>
  <c r="L113" i="3" s="1"/>
  <c r="K126" i="3"/>
  <c r="N23" i="3"/>
  <c r="L32" i="3"/>
  <c r="K291" i="3"/>
  <c r="L290" i="3"/>
  <c r="L291" i="3" s="1"/>
  <c r="J123" i="3"/>
  <c r="J124" i="3" s="1"/>
  <c r="J127" i="3" s="1"/>
  <c r="G101" i="1"/>
  <c r="G47" i="1" s="1"/>
  <c r="G121" i="1" s="1"/>
  <c r="G122" i="1" s="1"/>
  <c r="G169" i="1"/>
  <c r="G289" i="1"/>
  <c r="G290" i="1" s="1"/>
  <c r="G291" i="1" s="1"/>
  <c r="G277" i="1"/>
  <c r="G280" i="1" s="1"/>
  <c r="G177" i="1"/>
  <c r="G63" i="1"/>
  <c r="G76" i="1"/>
  <c r="G80" i="1"/>
  <c r="L48" i="3" l="1"/>
  <c r="L123" i="3" s="1"/>
  <c r="L124" i="3" s="1"/>
  <c r="L127" i="3" s="1"/>
  <c r="L112" i="3"/>
  <c r="L34" i="3"/>
  <c r="N32" i="3"/>
  <c r="K123" i="3"/>
  <c r="K124" i="3" s="1"/>
  <c r="K127" i="3" s="1"/>
  <c r="L78" i="3"/>
  <c r="H288" i="1"/>
  <c r="H174" i="1"/>
  <c r="L77" i="3" l="1"/>
  <c r="H18" i="1"/>
  <c r="H33" i="1"/>
  <c r="H284" i="1" s="1"/>
  <c r="H52" i="1"/>
  <c r="H60" i="1"/>
  <c r="H80" i="1" s="1"/>
  <c r="H56" i="1"/>
  <c r="H50" i="1"/>
  <c r="H57" i="1"/>
  <c r="H169" i="1" l="1"/>
  <c r="H277" i="1"/>
  <c r="H280" i="1" s="1"/>
  <c r="H289" i="1"/>
  <c r="H290" i="1" s="1"/>
  <c r="H177" i="1"/>
  <c r="H63" i="1"/>
  <c r="H76" i="1"/>
  <c r="I288" i="1" l="1"/>
  <c r="H291" i="1"/>
  <c r="I174" i="1"/>
  <c r="I56" i="1" l="1"/>
  <c r="I52" i="1"/>
  <c r="I60" i="1"/>
  <c r="I80" i="1" s="1"/>
  <c r="I18" i="1"/>
  <c r="I33" i="1"/>
  <c r="I284" i="1" s="1"/>
  <c r="I57" i="1"/>
  <c r="I50" i="1"/>
  <c r="I169" i="1" l="1"/>
  <c r="I277" i="1"/>
  <c r="I280" i="1" s="1"/>
  <c r="I289" i="1"/>
  <c r="I290" i="1" s="1"/>
  <c r="I76" i="1"/>
  <c r="I63" i="1"/>
  <c r="I177" i="1"/>
  <c r="J288" i="1" l="1"/>
  <c r="I291" i="1"/>
  <c r="J174" i="1"/>
  <c r="J60" i="1" l="1"/>
  <c r="J80" i="1" s="1"/>
  <c r="J33" i="1"/>
  <c r="J284" i="1" s="1"/>
  <c r="J50" i="1"/>
  <c r="J18" i="1"/>
  <c r="J83" i="1"/>
  <c r="J52" i="1"/>
  <c r="J56" i="1"/>
  <c r="J57" i="1"/>
  <c r="J169" i="1" l="1"/>
  <c r="J277" i="1"/>
  <c r="J280" i="1" s="1"/>
  <c r="J289" i="1"/>
  <c r="J290" i="1" s="1"/>
  <c r="J177" i="1"/>
  <c r="J84" i="1"/>
  <c r="J63" i="1"/>
  <c r="J76" i="1"/>
  <c r="K288" i="1" l="1"/>
  <c r="J291" i="1"/>
  <c r="K174" i="1"/>
  <c r="K83" i="1" l="1"/>
  <c r="K50" i="1" l="1"/>
  <c r="K18" i="1"/>
  <c r="K33" i="1"/>
  <c r="K284" i="1" s="1"/>
  <c r="K277" i="1" s="1"/>
  <c r="K280" i="1" s="1"/>
  <c r="K57" i="1"/>
  <c r="K52" i="1"/>
  <c r="K177" i="1" s="1"/>
  <c r="K60" i="1"/>
  <c r="K80" i="1" s="1"/>
  <c r="K56" i="1"/>
  <c r="K84" i="1"/>
  <c r="M18" i="1" l="1"/>
  <c r="K169" i="1"/>
  <c r="K289" i="1"/>
  <c r="K290" i="1" s="1"/>
  <c r="K291" i="1" s="1"/>
  <c r="K63" i="1"/>
  <c r="K76" i="1"/>
  <c r="G241" i="1"/>
  <c r="G38" i="1" s="1"/>
  <c r="G258" i="1"/>
  <c r="G260" i="1"/>
  <c r="G20" i="1" l="1"/>
  <c r="G19" i="1" s="1"/>
  <c r="G113" i="1" l="1"/>
  <c r="G48" i="1" s="1"/>
  <c r="G123" i="1" s="1"/>
  <c r="G124" i="1" s="1"/>
  <c r="G55" i="1"/>
  <c r="G126" i="1" l="1"/>
  <c r="G127" i="1" s="1"/>
  <c r="G112" i="1"/>
  <c r="H111" i="1"/>
  <c r="G78" i="1"/>
  <c r="G77" i="1"/>
  <c r="H258" i="1"/>
  <c r="H241" i="1" s="1"/>
  <c r="H38" i="1" s="1"/>
  <c r="H260" i="1"/>
  <c r="H20" i="1" l="1"/>
  <c r="H19" i="1" s="1"/>
  <c r="H113" i="1" l="1"/>
  <c r="H48" i="1" s="1"/>
  <c r="H123" i="1" s="1"/>
  <c r="H55" i="1"/>
  <c r="H78" i="1" l="1"/>
  <c r="H126" i="1"/>
  <c r="H112" i="1"/>
  <c r="I111" i="1"/>
  <c r="I258" i="1"/>
  <c r="I241" i="1" s="1"/>
  <c r="I38" i="1" s="1"/>
  <c r="I260" i="1"/>
  <c r="I20" i="1" l="1"/>
  <c r="I19" i="1" s="1"/>
  <c r="I113" i="1" l="1"/>
  <c r="I48" i="1" s="1"/>
  <c r="I123" i="1" s="1"/>
  <c r="I55" i="1"/>
  <c r="I78" i="1" l="1"/>
  <c r="I112" i="1"/>
  <c r="J111" i="1"/>
  <c r="I126" i="1"/>
  <c r="G262" i="1"/>
  <c r="G242" i="1" s="1"/>
  <c r="G39" i="1" s="1"/>
  <c r="G21" i="1" s="1"/>
  <c r="G264" i="1"/>
  <c r="H262" i="1"/>
  <c r="H242" i="1" s="1"/>
  <c r="H39" i="1" s="1"/>
  <c r="H21" i="1" s="1"/>
  <c r="H264" i="1"/>
  <c r="I262" i="1"/>
  <c r="I242" i="1" s="1"/>
  <c r="I39" i="1" s="1"/>
  <c r="I21" i="1" s="1"/>
  <c r="I264" i="1"/>
  <c r="G266" i="1"/>
  <c r="G243" i="1" s="1"/>
  <c r="G40" i="1" s="1"/>
  <c r="G22" i="1" s="1"/>
  <c r="G268" i="1"/>
  <c r="G23" i="1" l="1"/>
  <c r="H266" i="1"/>
  <c r="H243" i="1" s="1"/>
  <c r="H40" i="1" s="1"/>
  <c r="H22" i="1" s="1"/>
  <c r="H23" i="1" s="1"/>
  <c r="H268" i="1"/>
  <c r="I266" i="1" l="1"/>
  <c r="I243" i="1" s="1"/>
  <c r="I40" i="1" s="1"/>
  <c r="I22" i="1" s="1"/>
  <c r="I23" i="1" s="1"/>
  <c r="I268" i="1"/>
  <c r="J258" i="1" l="1"/>
  <c r="J241" i="1" s="1"/>
  <c r="J38" i="1" s="1"/>
  <c r="J260" i="1"/>
  <c r="J20" i="1" l="1"/>
  <c r="J19" i="1" s="1"/>
  <c r="J113" i="1" l="1"/>
  <c r="J48" i="1" s="1"/>
  <c r="J123" i="1" s="1"/>
  <c r="J55" i="1"/>
  <c r="J78" i="1" l="1"/>
  <c r="J126" i="1"/>
  <c r="J112" i="1"/>
  <c r="K111" i="1"/>
  <c r="K241" i="1"/>
  <c r="K38" i="1" s="1"/>
  <c r="K258" i="1"/>
  <c r="K260" i="1"/>
  <c r="K20" i="1" l="1"/>
  <c r="K19" i="1" s="1"/>
  <c r="K113" i="1" l="1"/>
  <c r="K48" i="1" s="1"/>
  <c r="K123" i="1" s="1"/>
  <c r="K55" i="1"/>
  <c r="K78" i="1" l="1"/>
  <c r="K126" i="1"/>
  <c r="K112" i="1"/>
  <c r="J262" i="1"/>
  <c r="J242" i="1" s="1"/>
  <c r="J39" i="1" s="1"/>
  <c r="J21" i="1" s="1"/>
  <c r="J264" i="1"/>
  <c r="K262" i="1"/>
  <c r="K242" i="1" s="1"/>
  <c r="K39" i="1" s="1"/>
  <c r="K21" i="1" s="1"/>
  <c r="K264" i="1"/>
  <c r="J266" i="1"/>
  <c r="J243" i="1" s="1"/>
  <c r="J40" i="1" s="1"/>
  <c r="J22" i="1" s="1"/>
  <c r="J268" i="1"/>
  <c r="J23" i="1" l="1"/>
  <c r="K243" i="1"/>
  <c r="K40" i="1" s="1"/>
  <c r="K22" i="1" s="1"/>
  <c r="K23" i="1" s="1"/>
  <c r="K266" i="1"/>
  <c r="K268" i="1"/>
  <c r="G171" i="1"/>
  <c r="H171" i="1"/>
  <c r="H31" i="1" s="1"/>
  <c r="I171" i="1"/>
  <c r="I31" i="1" s="1"/>
  <c r="J171" i="1"/>
  <c r="J31" i="1" s="1"/>
  <c r="J75" i="1" s="1"/>
  <c r="K171" i="1"/>
  <c r="K31" i="1" s="1"/>
  <c r="G175" i="1"/>
  <c r="H175" i="1"/>
  <c r="H176" i="1" s="1"/>
  <c r="H79" i="1" s="1"/>
  <c r="I175" i="1"/>
  <c r="I176" i="1" s="1"/>
  <c r="I79" i="1" s="1"/>
  <c r="J175" i="1"/>
  <c r="J176" i="1" s="1"/>
  <c r="J79" i="1" s="1"/>
  <c r="K175" i="1"/>
  <c r="K176" i="1" s="1"/>
  <c r="K79" i="1" s="1"/>
  <c r="M23" i="1" l="1"/>
  <c r="G31" i="1"/>
  <c r="G75" i="1" s="1"/>
  <c r="G176" i="1"/>
  <c r="G79" i="1" s="1"/>
  <c r="K32" i="1"/>
  <c r="H32" i="1"/>
  <c r="H34" i="1" s="1"/>
  <c r="H75" i="1"/>
  <c r="J32" i="1"/>
  <c r="J34" i="1" s="1"/>
  <c r="I75" i="1"/>
  <c r="I32" i="1"/>
  <c r="I34" i="1" s="1"/>
  <c r="K75" i="1"/>
  <c r="K34" i="1" l="1"/>
  <c r="G32" i="1"/>
  <c r="G34" i="1" s="1"/>
  <c r="M32" i="1" l="1"/>
  <c r="G51" i="1"/>
  <c r="H51" i="1"/>
  <c r="I51" i="1"/>
  <c r="J51" i="1"/>
  <c r="K51" i="1"/>
  <c r="H99" i="1"/>
  <c r="G100" i="1"/>
  <c r="G103" i="1"/>
  <c r="H101" i="1" l="1"/>
  <c r="H47" i="1" s="1"/>
  <c r="H121" i="1" l="1"/>
  <c r="H122" i="1" s="1"/>
  <c r="H124" i="1" s="1"/>
  <c r="H127" i="1" s="1"/>
  <c r="H77" i="1"/>
  <c r="H103" i="1"/>
  <c r="I99" i="1"/>
  <c r="H100" i="1"/>
  <c r="I101" i="1" l="1"/>
  <c r="I47" i="1" s="1"/>
  <c r="I121" i="1" l="1"/>
  <c r="I122" i="1" s="1"/>
  <c r="I124" i="1" s="1"/>
  <c r="I127" i="1" s="1"/>
  <c r="I77" i="1"/>
  <c r="J99" i="1"/>
  <c r="I103" i="1"/>
  <c r="I100" i="1"/>
  <c r="J101" i="1" l="1"/>
  <c r="J47" i="1" s="1"/>
  <c r="J121" i="1" l="1"/>
  <c r="J122" i="1" s="1"/>
  <c r="J124" i="1" s="1"/>
  <c r="J127" i="1" s="1"/>
  <c r="J77" i="1"/>
  <c r="K99" i="1"/>
  <c r="J103" i="1"/>
  <c r="J100" i="1"/>
  <c r="K101" i="1" l="1"/>
  <c r="K103" i="1" l="1"/>
  <c r="K47" i="1"/>
  <c r="K100" i="1"/>
  <c r="K77" i="1" l="1"/>
  <c r="K121" i="1"/>
  <c r="K122" i="1" s="1"/>
  <c r="K124" i="1" s="1"/>
  <c r="K127" i="1" s="1"/>
  <c r="G24" i="1"/>
  <c r="H24" i="1"/>
  <c r="I24" i="1"/>
  <c r="J24" i="1"/>
  <c r="K24" i="1"/>
  <c r="G25" i="1"/>
  <c r="H25" i="1"/>
  <c r="I25" i="1"/>
  <c r="J25" i="1"/>
  <c r="K25" i="1"/>
  <c r="G27" i="1"/>
  <c r="H27" i="1"/>
  <c r="I27" i="1"/>
  <c r="J27" i="1"/>
  <c r="K27" i="1"/>
  <c r="G28" i="1"/>
  <c r="H28" i="1"/>
  <c r="I28" i="1"/>
  <c r="J28" i="1"/>
  <c r="K28" i="1"/>
  <c r="G29" i="1"/>
  <c r="H29" i="1"/>
  <c r="I29" i="1"/>
  <c r="J29" i="1"/>
  <c r="K29" i="1"/>
  <c r="M29" i="1"/>
  <c r="G46" i="1"/>
  <c r="H46" i="1"/>
  <c r="I46" i="1"/>
  <c r="J46" i="1"/>
  <c r="K46" i="1"/>
  <c r="G53" i="1"/>
  <c r="H53" i="1"/>
  <c r="I53" i="1"/>
  <c r="J53" i="1"/>
  <c r="K53" i="1"/>
  <c r="G58" i="1"/>
  <c r="H58" i="1"/>
  <c r="I58" i="1"/>
  <c r="J58" i="1"/>
  <c r="K58" i="1"/>
  <c r="G61" i="1"/>
  <c r="H61" i="1"/>
  <c r="I61" i="1"/>
  <c r="J61" i="1"/>
  <c r="K61" i="1"/>
  <c r="G64" i="1"/>
  <c r="H64" i="1"/>
  <c r="I64" i="1"/>
  <c r="J64" i="1"/>
  <c r="K64" i="1"/>
  <c r="G66" i="1"/>
  <c r="H66" i="1"/>
  <c r="I66" i="1"/>
  <c r="J66" i="1"/>
  <c r="K66" i="1"/>
  <c r="G68" i="1"/>
  <c r="H68" i="1"/>
  <c r="I68" i="1"/>
  <c r="J68" i="1"/>
  <c r="K68" i="1"/>
  <c r="G74" i="1"/>
  <c r="H74" i="1"/>
  <c r="I74" i="1"/>
  <c r="J74" i="1"/>
  <c r="K74" i="1"/>
  <c r="G81" i="1"/>
  <c r="H81" i="1"/>
  <c r="I81" i="1"/>
  <c r="J81" i="1"/>
  <c r="K81" i="1"/>
  <c r="G87" i="1"/>
  <c r="H87" i="1"/>
  <c r="I87" i="1"/>
  <c r="J87" i="1"/>
  <c r="K87" i="1"/>
  <c r="G90" i="1"/>
  <c r="H90" i="1"/>
  <c r="I90" i="1"/>
  <c r="J90" i="1"/>
  <c r="K90" i="1"/>
  <c r="G92" i="1"/>
  <c r="H92" i="1"/>
  <c r="I92" i="1"/>
  <c r="J92" i="1"/>
  <c r="K92" i="1"/>
  <c r="G129" i="1"/>
  <c r="H129" i="1"/>
  <c r="I129" i="1"/>
  <c r="J129" i="1"/>
  <c r="K129" i="1"/>
  <c r="G133" i="1"/>
  <c r="H133" i="1"/>
  <c r="I133" i="1"/>
  <c r="J133" i="1"/>
  <c r="K133" i="1"/>
  <c r="G136" i="1"/>
  <c r="H136" i="1"/>
  <c r="I136" i="1"/>
  <c r="J136" i="1"/>
  <c r="K136" i="1"/>
  <c r="G137" i="1"/>
  <c r="H137" i="1"/>
  <c r="I137" i="1"/>
  <c r="J137" i="1"/>
  <c r="K137" i="1"/>
  <c r="H180" i="1"/>
  <c r="I180" i="1"/>
  <c r="J180" i="1"/>
  <c r="K180" i="1"/>
  <c r="G181" i="1"/>
  <c r="H181" i="1"/>
  <c r="I181" i="1"/>
  <c r="J181" i="1"/>
  <c r="K181" i="1"/>
  <c r="G184" i="1"/>
  <c r="H184" i="1"/>
  <c r="I184" i="1"/>
  <c r="J184" i="1"/>
  <c r="K184" i="1"/>
  <c r="H191" i="1"/>
  <c r="I191" i="1"/>
  <c r="J191" i="1"/>
  <c r="K191" i="1"/>
  <c r="G193" i="1"/>
  <c r="H193" i="1"/>
  <c r="I193" i="1"/>
  <c r="J193" i="1"/>
  <c r="K193" i="1"/>
  <c r="G194" i="1"/>
  <c r="H194" i="1"/>
  <c r="I194" i="1"/>
  <c r="J194" i="1"/>
  <c r="K194" i="1"/>
  <c r="H197" i="1"/>
  <c r="I197" i="1"/>
  <c r="J197" i="1"/>
  <c r="K197" i="1"/>
  <c r="G198" i="1"/>
  <c r="H198" i="1"/>
  <c r="I198" i="1"/>
  <c r="J198" i="1"/>
  <c r="K198" i="1"/>
  <c r="G200" i="1"/>
  <c r="H200" i="1"/>
  <c r="I200" i="1"/>
  <c r="J200" i="1"/>
  <c r="K200" i="1"/>
  <c r="G211" i="1"/>
  <c r="H211" i="1"/>
  <c r="I211" i="1"/>
  <c r="J211" i="1"/>
  <c r="K211" i="1"/>
  <c r="G212" i="1"/>
  <c r="H212" i="1"/>
  <c r="I212" i="1"/>
  <c r="J212" i="1"/>
  <c r="K212" i="1"/>
  <c r="G221" i="1"/>
  <c r="H221" i="1"/>
  <c r="I221" i="1"/>
  <c r="J221" i="1"/>
  <c r="K221" i="1"/>
  <c r="D227" i="1"/>
  <c r="G276" i="1"/>
  <c r="H276" i="1"/>
  <c r="I276" i="1"/>
  <c r="J276" i="1"/>
  <c r="K276" i="1"/>
  <c r="G278" i="1"/>
  <c r="H278" i="1"/>
  <c r="I278" i="1"/>
  <c r="J278" i="1"/>
  <c r="K278" i="1"/>
  <c r="G281" i="1"/>
  <c r="H281" i="1"/>
  <c r="I281" i="1"/>
  <c r="J281" i="1"/>
  <c r="K281" i="1"/>
  <c r="H24" i="3"/>
  <c r="I24" i="3"/>
  <c r="J24" i="3"/>
  <c r="K24" i="3"/>
  <c r="L24" i="3"/>
  <c r="H25" i="3"/>
  <c r="I25" i="3"/>
  <c r="J25" i="3"/>
  <c r="K25" i="3"/>
  <c r="L25" i="3"/>
  <c r="H27" i="3"/>
  <c r="I27" i="3"/>
  <c r="J27" i="3"/>
  <c r="K27" i="3"/>
  <c r="L27" i="3"/>
  <c r="H28" i="3"/>
  <c r="I28" i="3"/>
  <c r="J28" i="3"/>
  <c r="K28" i="3"/>
  <c r="L28" i="3"/>
  <c r="H29" i="3"/>
  <c r="I29" i="3"/>
  <c r="J29" i="3"/>
  <c r="K29" i="3"/>
  <c r="L29" i="3"/>
  <c r="N29" i="3"/>
  <c r="H46" i="3"/>
  <c r="I46" i="3"/>
  <c r="J46" i="3"/>
  <c r="K46" i="3"/>
  <c r="L46" i="3"/>
  <c r="H53" i="3"/>
  <c r="I53" i="3"/>
  <c r="J53" i="3"/>
  <c r="K53" i="3"/>
  <c r="L53" i="3"/>
  <c r="H58" i="3"/>
  <c r="I58" i="3"/>
  <c r="J58" i="3"/>
  <c r="K58" i="3"/>
  <c r="L58" i="3"/>
  <c r="H61" i="3"/>
  <c r="I61" i="3"/>
  <c r="J61" i="3"/>
  <c r="K61" i="3"/>
  <c r="L61" i="3"/>
  <c r="H64" i="3"/>
  <c r="I64" i="3"/>
  <c r="J64" i="3"/>
  <c r="K64" i="3"/>
  <c r="L64" i="3"/>
  <c r="H66" i="3"/>
  <c r="I66" i="3"/>
  <c r="J66" i="3"/>
  <c r="K66" i="3"/>
  <c r="L66" i="3"/>
  <c r="H68" i="3"/>
  <c r="I68" i="3"/>
  <c r="J68" i="3"/>
  <c r="K68" i="3"/>
  <c r="L68" i="3"/>
  <c r="H74" i="3"/>
  <c r="I74" i="3"/>
  <c r="J74" i="3"/>
  <c r="K74" i="3"/>
  <c r="L74" i="3"/>
  <c r="H81" i="3"/>
  <c r="I81" i="3"/>
  <c r="J81" i="3"/>
  <c r="K81" i="3"/>
  <c r="L81" i="3"/>
  <c r="H87" i="3"/>
  <c r="I87" i="3"/>
  <c r="J87" i="3"/>
  <c r="K87" i="3"/>
  <c r="L87" i="3"/>
  <c r="H90" i="3"/>
  <c r="I90" i="3"/>
  <c r="J90" i="3"/>
  <c r="K90" i="3"/>
  <c r="L90" i="3"/>
  <c r="H92" i="3"/>
  <c r="I92" i="3"/>
  <c r="J92" i="3"/>
  <c r="K92" i="3"/>
  <c r="L92" i="3"/>
  <c r="H129" i="3"/>
  <c r="I129" i="3"/>
  <c r="J129" i="3"/>
  <c r="K129" i="3"/>
  <c r="L129" i="3"/>
  <c r="H133" i="3"/>
  <c r="I133" i="3"/>
  <c r="J133" i="3"/>
  <c r="K133" i="3"/>
  <c r="L133" i="3"/>
  <c r="H136" i="3"/>
  <c r="I136" i="3"/>
  <c r="J136" i="3"/>
  <c r="K136" i="3"/>
  <c r="L136" i="3"/>
  <c r="H137" i="3"/>
  <c r="I137" i="3"/>
  <c r="J137" i="3"/>
  <c r="K137" i="3"/>
  <c r="L137" i="3"/>
  <c r="I180" i="3"/>
  <c r="J180" i="3"/>
  <c r="K180" i="3"/>
  <c r="L180" i="3"/>
  <c r="H181" i="3"/>
  <c r="I181" i="3"/>
  <c r="J181" i="3"/>
  <c r="K181" i="3"/>
  <c r="L181" i="3"/>
  <c r="H184" i="3"/>
  <c r="I184" i="3"/>
  <c r="J184" i="3"/>
  <c r="K184" i="3"/>
  <c r="L184" i="3"/>
  <c r="I191" i="3"/>
  <c r="J191" i="3"/>
  <c r="K191" i="3"/>
  <c r="L191" i="3"/>
  <c r="H193" i="3"/>
  <c r="I193" i="3"/>
  <c r="J193" i="3"/>
  <c r="K193" i="3"/>
  <c r="L193" i="3"/>
  <c r="H194" i="3"/>
  <c r="I194" i="3"/>
  <c r="J194" i="3"/>
  <c r="K194" i="3"/>
  <c r="L194" i="3"/>
  <c r="I197" i="3"/>
  <c r="J197" i="3"/>
  <c r="K197" i="3"/>
  <c r="L197" i="3"/>
  <c r="H198" i="3"/>
  <c r="I198" i="3"/>
  <c r="J198" i="3"/>
  <c r="K198" i="3"/>
  <c r="L198" i="3"/>
  <c r="H200" i="3"/>
  <c r="I200" i="3"/>
  <c r="J200" i="3"/>
  <c r="K200" i="3"/>
  <c r="L200" i="3"/>
  <c r="H211" i="3"/>
  <c r="I211" i="3"/>
  <c r="J211" i="3"/>
  <c r="K211" i="3"/>
  <c r="L211" i="3"/>
  <c r="H212" i="3"/>
  <c r="I212" i="3"/>
  <c r="J212" i="3"/>
  <c r="K212" i="3"/>
  <c r="L212" i="3"/>
  <c r="H221" i="3"/>
  <c r="I221" i="3"/>
  <c r="J221" i="3"/>
  <c r="K221" i="3"/>
  <c r="L221" i="3"/>
  <c r="E227" i="3"/>
  <c r="H276" i="3"/>
  <c r="I276" i="3"/>
  <c r="J276" i="3"/>
  <c r="K276" i="3"/>
  <c r="L276" i="3"/>
  <c r="H278" i="3"/>
  <c r="I278" i="3"/>
  <c r="J278" i="3"/>
  <c r="K278" i="3"/>
  <c r="L278" i="3"/>
  <c r="H281" i="3"/>
  <c r="I281" i="3"/>
  <c r="J281" i="3"/>
  <c r="K281" i="3"/>
  <c r="L281"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ziad hosni</author>
    <author>Matan Feldman</author>
  </authors>
  <commentList>
    <comment ref="D7" authorId="0" shapeId="0" xr:uid="{3E3629A5-F5AF-48A8-9145-2AB0A88F321B}">
      <text>
        <r>
          <rPr>
            <b/>
            <sz val="9"/>
            <color indexed="81"/>
            <rFont val="Tahoma"/>
            <family val="2"/>
          </rPr>
          <t>ziad hosni:</t>
        </r>
        <r>
          <rPr>
            <sz val="9"/>
            <color indexed="81"/>
            <rFont val="Tahoma"/>
            <family val="2"/>
          </rPr>
          <t xml:space="preserve">
Always make sure iterations are selected (alt t o) &gt; Formulas
Calculate using average balances, but insert circuit break - either hard code 0
Or: Calculate off BOP balances</t>
        </r>
      </text>
    </comment>
    <comment ref="C50" authorId="1" shapeId="0" xr:uid="{55BDB175-9A31-4CAD-9B66-3C439F6BABCF}">
      <text>
        <r>
          <rPr>
            <sz val="9"/>
            <color indexed="81"/>
            <rFont val="Tahoma"/>
            <family val="2"/>
          </rPr>
          <t>Includes vendor non-trade receivables</t>
        </r>
      </text>
    </comment>
    <comment ref="C52" authorId="1" shapeId="0" xr:uid="{9A43F82F-C257-4FC2-970A-2B87C474E2E7}">
      <text>
        <r>
          <rPr>
            <sz val="9"/>
            <color indexed="81"/>
            <rFont val="Tahoma"/>
            <family val="2"/>
          </rPr>
          <t>AAPL started aggregating goodwill, intangible assets and other non current assets into one line item in 2018, with no footnote breakout of the individual line items. 10Ks prior to 2018 did have a breakout.</t>
        </r>
      </text>
    </comment>
    <comment ref="E57" authorId="1" shapeId="0" xr:uid="{0F4BAB66-03D2-40FE-B2D6-C10C58BA2986}">
      <text>
        <r>
          <rPr>
            <b/>
            <sz val="9"/>
            <color indexed="81"/>
            <rFont val="Tahoma"/>
            <family val="2"/>
          </rPr>
          <t>Matan Feldman:</t>
        </r>
        <r>
          <rPr>
            <sz val="9"/>
            <color indexed="81"/>
            <rFont val="Tahoma"/>
            <family val="2"/>
          </rPr>
          <t xml:space="preserve">
includes both current and non current deferred revenue</t>
        </r>
      </text>
    </comment>
    <comment ref="F57" authorId="1" shapeId="0" xr:uid="{EFF82AB4-32F2-4F62-B21B-467D4FDB3472}">
      <text>
        <r>
          <rPr>
            <b/>
            <sz val="9"/>
            <color indexed="81"/>
            <rFont val="Tahoma"/>
            <family val="2"/>
          </rPr>
          <t>Matan Feldman:</t>
        </r>
        <r>
          <rPr>
            <sz val="9"/>
            <color indexed="81"/>
            <rFont val="Tahoma"/>
            <family val="2"/>
          </rPr>
          <t xml:space="preserve">
reclassified from 10,340 in 2018 10k</t>
        </r>
      </text>
    </comment>
    <comment ref="O144" authorId="0" shapeId="0" xr:uid="{9592E56F-DA19-42FA-8EFB-B95CA568BA3C}">
      <text>
        <r>
          <rPr>
            <b/>
            <sz val="9"/>
            <color indexed="81"/>
            <rFont val="Tahoma"/>
            <family val="2"/>
          </rPr>
          <t>ziad hosni:</t>
        </r>
        <r>
          <rPr>
            <sz val="9"/>
            <color indexed="81"/>
            <rFont val="Tahoma"/>
            <family val="2"/>
          </rPr>
          <t xml:space="preserve">
2021 thereafter grow with revenue growth
</t>
        </r>
      </text>
    </comment>
    <comment ref="G285" authorId="0" shapeId="0" xr:uid="{F2B56662-56A9-47F1-B7AA-0E6C3DE650EB}">
      <text>
        <r>
          <rPr>
            <b/>
            <sz val="9"/>
            <color indexed="81"/>
            <rFont val="Tahoma"/>
            <family val="2"/>
          </rPr>
          <t>ziad hosni:</t>
        </r>
        <r>
          <rPr>
            <sz val="9"/>
            <color indexed="81"/>
            <rFont val="Tahoma"/>
            <family val="2"/>
          </rPr>
          <t xml:space="preserve">
Average last 12-month of apple share price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ziad hosni</author>
    <author>Matan Feldman</author>
  </authors>
  <commentList>
    <comment ref="D7" authorId="0" shapeId="0" xr:uid="{678D4CAB-11B2-43C0-A6E0-5227374EDD6C}">
      <text>
        <r>
          <rPr>
            <b/>
            <sz val="9"/>
            <color indexed="81"/>
            <rFont val="Tahoma"/>
            <family val="2"/>
          </rPr>
          <t>ziad hosni:</t>
        </r>
        <r>
          <rPr>
            <sz val="9"/>
            <color indexed="81"/>
            <rFont val="Tahoma"/>
            <family val="2"/>
          </rPr>
          <t xml:space="preserve">
Always make sure iterations are selected (alt t o) &gt; Formulas
Calculate using average balances, but insert circuit break - either hard code 0
Or: Calculate off BOP balances</t>
        </r>
      </text>
    </comment>
    <comment ref="C50" authorId="1" shapeId="0" xr:uid="{C5D96250-70C0-4F71-8F79-9ED39B6D452F}">
      <text>
        <r>
          <rPr>
            <sz val="9"/>
            <color indexed="81"/>
            <rFont val="Tahoma"/>
            <family val="2"/>
          </rPr>
          <t>Includes vendor non-trade receivables</t>
        </r>
      </text>
    </comment>
    <comment ref="C52" authorId="1" shapeId="0" xr:uid="{DFFB675F-5C16-4244-9F5D-0A44AAF02CA4}">
      <text>
        <r>
          <rPr>
            <sz val="9"/>
            <color indexed="81"/>
            <rFont val="Tahoma"/>
            <family val="2"/>
          </rPr>
          <t>AAPL started aggregating goodwill, intangible assets and other non current assets into one line item in 2018, with no footnote breakout of the individual line items. 10Ks prior to 2018 did have a breakout.</t>
        </r>
      </text>
    </comment>
    <comment ref="E57" authorId="1" shapeId="0" xr:uid="{58A39A6D-D206-4DCB-A435-62E914226FC9}">
      <text>
        <r>
          <rPr>
            <b/>
            <sz val="9"/>
            <color indexed="81"/>
            <rFont val="Tahoma"/>
            <family val="2"/>
          </rPr>
          <t>Matan Feldman:</t>
        </r>
        <r>
          <rPr>
            <sz val="9"/>
            <color indexed="81"/>
            <rFont val="Tahoma"/>
            <family val="2"/>
          </rPr>
          <t xml:space="preserve">
includes both current and non current deferred revenue</t>
        </r>
      </text>
    </comment>
    <comment ref="F57" authorId="1" shapeId="0" xr:uid="{707A826B-E9E6-4861-BE56-3C7EDED2D055}">
      <text>
        <r>
          <rPr>
            <b/>
            <sz val="9"/>
            <color indexed="81"/>
            <rFont val="Tahoma"/>
            <family val="2"/>
          </rPr>
          <t>Matan Feldman:</t>
        </r>
        <r>
          <rPr>
            <sz val="9"/>
            <color indexed="81"/>
            <rFont val="Tahoma"/>
            <family val="2"/>
          </rPr>
          <t xml:space="preserve">
reclassified from 10,340 in 2018 10k</t>
        </r>
      </text>
    </comment>
    <comment ref="G57" authorId="1" shapeId="0" xr:uid="{CA1557FE-7A65-4062-90D2-B6B78747335B}">
      <text>
        <r>
          <rPr>
            <b/>
            <sz val="9"/>
            <color indexed="81"/>
            <rFont val="Tahoma"/>
            <family val="2"/>
          </rPr>
          <t>Matan Feldman:</t>
        </r>
        <r>
          <rPr>
            <sz val="9"/>
            <color indexed="81"/>
            <rFont val="Tahoma"/>
            <family val="2"/>
          </rPr>
          <t xml:space="preserve">
reclassified from 10,340 in 2018 10k</t>
        </r>
      </text>
    </comment>
    <comment ref="P144" authorId="0" shapeId="0" xr:uid="{E17D3FB7-C809-492B-B63D-5EE378965295}">
      <text>
        <r>
          <rPr>
            <b/>
            <sz val="9"/>
            <color indexed="81"/>
            <rFont val="Tahoma"/>
            <family val="2"/>
          </rPr>
          <t>ziad hosni:</t>
        </r>
        <r>
          <rPr>
            <sz val="9"/>
            <color indexed="81"/>
            <rFont val="Tahoma"/>
            <family val="2"/>
          </rPr>
          <t xml:space="preserve">
2021 thereafter grow with revenue growth
</t>
        </r>
      </text>
    </comment>
    <comment ref="H285" authorId="0" shapeId="0" xr:uid="{0188FA27-2832-44EA-A126-85999BFD5F73}">
      <text>
        <r>
          <rPr>
            <b/>
            <sz val="9"/>
            <color indexed="81"/>
            <rFont val="Tahoma"/>
            <family val="2"/>
          </rPr>
          <t>ziad hosni:</t>
        </r>
        <r>
          <rPr>
            <sz val="9"/>
            <color indexed="81"/>
            <rFont val="Tahoma"/>
            <family val="2"/>
          </rPr>
          <t xml:space="preserve">
Average last 12-month of apple share price
</t>
        </r>
      </text>
    </comment>
  </commentList>
</comments>
</file>

<file path=xl/sharedStrings.xml><?xml version="1.0" encoding="utf-8"?>
<sst xmlns="http://schemas.openxmlformats.org/spreadsheetml/2006/main" count="765" uniqueCount="270">
  <si>
    <t>Balance check</t>
  </si>
  <si>
    <t>Total equity</t>
  </si>
  <si>
    <t>WSP assumption: straight-line</t>
  </si>
  <si>
    <t>Other comprehensive income</t>
  </si>
  <si>
    <t>Reference from Retained Earnings schedule</t>
  </si>
  <si>
    <t xml:space="preserve">Retained earnings </t>
  </si>
  <si>
    <t>Increase by stock-based compensation forecasted in the I/S section</t>
  </si>
  <si>
    <t>Common stock</t>
  </si>
  <si>
    <t>Total liabilities</t>
  </si>
  <si>
    <t>Grow in-line with revenue growth</t>
  </si>
  <si>
    <t>Other non current liabilities</t>
  </si>
  <si>
    <t>Long term debt (includes current portion)</t>
  </si>
  <si>
    <t>Reference EOP balance from CP/revolver schedule</t>
  </si>
  <si>
    <t>Commercial paper / revolver</t>
  </si>
  <si>
    <t>Deferred revenue (current)</t>
  </si>
  <si>
    <t>Other current liabilities</t>
  </si>
  <si>
    <t>Grow in-line with cost of sales growth</t>
  </si>
  <si>
    <t>Accounts payable</t>
  </si>
  <si>
    <t>Total assets</t>
  </si>
  <si>
    <t>Other non current assets</t>
  </si>
  <si>
    <t>Reference from PP&amp;E schedule</t>
  </si>
  <si>
    <t>Property, plant &amp; equipment</t>
  </si>
  <si>
    <t>Other current assets</t>
  </si>
  <si>
    <t>Inventories</t>
  </si>
  <si>
    <t>Accounts receivable</t>
  </si>
  <si>
    <t>Reference from 'net change in cash' line on the cash flow statement</t>
  </si>
  <si>
    <t>Cash &amp; equivalents, ST and LT marketable securities</t>
  </si>
  <si>
    <t>BALANCE SHEET</t>
  </si>
  <si>
    <t>Straight line last historical year</t>
  </si>
  <si>
    <t>Tax rate</t>
  </si>
  <si>
    <t>SG&amp;A % of sales</t>
  </si>
  <si>
    <t>R&amp;D % of sales</t>
  </si>
  <si>
    <t>Gross profit margin</t>
  </si>
  <si>
    <t>Revenue growth</t>
  </si>
  <si>
    <t>Growth rates &amp; margins</t>
  </si>
  <si>
    <t>EBITDA + Stock-based compensation</t>
  </si>
  <si>
    <t>Adjusted EBITDA</t>
  </si>
  <si>
    <t>WSP assumption: grow SBC in-line with revenue growth</t>
  </si>
  <si>
    <t>Stock based compensation</t>
  </si>
  <si>
    <t>EBIT + D&amp;A</t>
  </si>
  <si>
    <t>EBITDA</t>
  </si>
  <si>
    <t>Reference from D&amp;A schedule</t>
  </si>
  <si>
    <t>Depreciation &amp; amortization</t>
  </si>
  <si>
    <t>Pre-tax Profit less taxes</t>
  </si>
  <si>
    <t>Net income</t>
  </si>
  <si>
    <t>Pre-tax Profit x Tax Rate forecast</t>
  </si>
  <si>
    <t>Taxes (enter expense as -)</t>
  </si>
  <si>
    <t>EBIT + interest income less interest expense less other expense</t>
  </si>
  <si>
    <t>Pretax profit</t>
  </si>
  <si>
    <t>Straight-line</t>
  </si>
  <si>
    <t>Other expense, net (enter as -)</t>
  </si>
  <si>
    <t>Reference from interest expense schedule</t>
  </si>
  <si>
    <t>Interest expense (enter as -)</t>
  </si>
  <si>
    <t>Reference from interest on cash schedule</t>
  </si>
  <si>
    <t>Interest income</t>
  </si>
  <si>
    <t>Gross Profit - R&amp;D - SG&amp;A</t>
  </si>
  <si>
    <t>Operating profit (EBIT)</t>
  </si>
  <si>
    <t>Revenue x SG&amp;A % of sales forecast</t>
  </si>
  <si>
    <t>Selling, general &amp; administrative (enter as -)</t>
  </si>
  <si>
    <t>Revenue x R&amp;D % of sales forecast</t>
  </si>
  <si>
    <t>Research &amp; development (enter as -)</t>
  </si>
  <si>
    <t>Revenue x Gross Profit Margin forecast</t>
  </si>
  <si>
    <t>Gross Profit</t>
  </si>
  <si>
    <t>Plug = Revenue - Gross Profit</t>
  </si>
  <si>
    <t>Cost of sales (enter as -)</t>
  </si>
  <si>
    <t>Previous year's revenues x (1+revenue growth rate)</t>
  </si>
  <si>
    <t>Revenue</t>
  </si>
  <si>
    <t>WSP Comments</t>
  </si>
  <si>
    <t>Fiscal year end date</t>
  </si>
  <si>
    <t xml:space="preserve">Fiscal year  </t>
  </si>
  <si>
    <t>FORECAST</t>
  </si>
  <si>
    <t>INCOME STATEMENT</t>
  </si>
  <si>
    <t>Shares outstanding (millions)</t>
  </si>
  <si>
    <t>Latest fiscal year end date</t>
  </si>
  <si>
    <t>Latest closing share price date</t>
  </si>
  <si>
    <t>Latest closing share price</t>
  </si>
  <si>
    <t>Circ break 1=off, 0=on</t>
  </si>
  <si>
    <t>AAPL</t>
  </si>
  <si>
    <t>Ticker</t>
  </si>
  <si>
    <t>Apple</t>
  </si>
  <si>
    <t>Company name</t>
  </si>
  <si>
    <t xml:space="preserve">$ and shares in millions, except per share data </t>
  </si>
  <si>
    <t>-</t>
  </si>
  <si>
    <t>CASH FLOW STATEMENT</t>
  </si>
  <si>
    <t>Decreases / (Increases) in working capital assets</t>
  </si>
  <si>
    <t>Increases / (Decreases) in working capital liabilities</t>
  </si>
  <si>
    <t>Cash from operating activities</t>
  </si>
  <si>
    <t>Capital expenditures</t>
  </si>
  <si>
    <t>Share repurchases</t>
  </si>
  <si>
    <t>Common divedends</t>
  </si>
  <si>
    <t>Cash from investing activities</t>
  </si>
  <si>
    <t>Cash from financing activities</t>
  </si>
  <si>
    <t>Net change cash during the period</t>
  </si>
  <si>
    <t xml:space="preserve"> </t>
  </si>
  <si>
    <t>BOP = Previous year EOP</t>
  </si>
  <si>
    <t>JP Morgan through 2021; WSP assumption thereafter</t>
  </si>
  <si>
    <t>BOP + Capex - Depreciation</t>
  </si>
  <si>
    <t>Step</t>
  </si>
  <si>
    <t>D&amp;A related to PP&amp;E as a % of capex</t>
  </si>
  <si>
    <t>PROPERTY, PLANT &amp; EQUIPMENT</t>
  </si>
  <si>
    <t>Beginning of the period</t>
  </si>
  <si>
    <t xml:space="preserve"> Plus: capital expenditures</t>
  </si>
  <si>
    <t xml:space="preserve"> Less: depreciation</t>
  </si>
  <si>
    <t xml:space="preserve"> End of period</t>
  </si>
  <si>
    <t>IMPUTTING TOTAL DEPRECIATION &amp; AMORTIZATION</t>
  </si>
  <si>
    <r>
      <t xml:space="preserve">D&amp;A </t>
    </r>
    <r>
      <rPr>
        <u/>
        <sz val="11"/>
        <color theme="1"/>
        <rFont val="Calibri"/>
        <family val="2"/>
        <scheme val="minor"/>
      </rPr>
      <t>not</t>
    </r>
    <r>
      <rPr>
        <sz val="11"/>
        <color theme="1"/>
        <rFont val="Calibri"/>
        <family val="2"/>
        <scheme val="minor"/>
      </rPr>
      <t xml:space="preserve"> related to PP&amp;E</t>
    </r>
  </si>
  <si>
    <t xml:space="preserve"> as % of revenue</t>
  </si>
  <si>
    <t>Depreciation &amp; Amortization - Total</t>
  </si>
  <si>
    <t>Revenue x 'as %  of revenue' assumption</t>
  </si>
  <si>
    <t>Straight line last historical % of revenue - WSP assumption</t>
  </si>
  <si>
    <t>D&amp;A from PP&amp;E + D&amp;A not from PP&amp;E</t>
  </si>
  <si>
    <t>OTHER NON-CURRENT ASSETS</t>
  </si>
  <si>
    <t>Beginning of period</t>
  </si>
  <si>
    <t xml:space="preserve"> Less: D&amp;A not related to PP&amp;E</t>
  </si>
  <si>
    <t xml:space="preserve"> Plus: Additions</t>
  </si>
  <si>
    <t>End of period</t>
  </si>
  <si>
    <t>Assume all D&amp;A not from PP&amp;E is in non current assets</t>
  </si>
  <si>
    <t>Because we already know the EOP balance, this is a plug: EOP - D&amp;A not related to PP&amp;E - BOP</t>
  </si>
  <si>
    <t>Refrenced from balance sheet</t>
  </si>
  <si>
    <t>RETAINED EARNINGS</t>
  </si>
  <si>
    <t xml:space="preserve"> Less: dividends</t>
  </si>
  <si>
    <t xml:space="preserve"> Plus: net income</t>
  </si>
  <si>
    <t xml:space="preserve"> Less: repurchases</t>
  </si>
  <si>
    <t>Refrenced from income statement</t>
  </si>
  <si>
    <t>WSP assumption: straight-line last historical year dividends</t>
  </si>
  <si>
    <t>WSP assumption: straight-line last historical year repurchases</t>
  </si>
  <si>
    <t>BOP + net income - dividends - repurchases</t>
  </si>
  <si>
    <t>REVOLVER (MODEL PLUG)</t>
  </si>
  <si>
    <t>Revolver needs analysis:</t>
  </si>
  <si>
    <t xml:space="preserve"> Cash at beginning of period (BOP)</t>
  </si>
  <si>
    <t xml:space="preserve"> Less: Minimum cash balnce</t>
  </si>
  <si>
    <t xml:space="preserve"> Plus: Current period cash flows except revolver</t>
  </si>
  <si>
    <t xml:space="preserve"> Equals: Cash available (needed) to pay down (draw from) revolver</t>
  </si>
  <si>
    <t>Commercial paper / Revolver</t>
  </si>
  <si>
    <t xml:space="preserve"> Beginning of period</t>
  </si>
  <si>
    <t xml:space="preserve"> Draw / (paydown)</t>
  </si>
  <si>
    <t xml:space="preserve"> Additional discretionary draw / (paydown)</t>
  </si>
  <si>
    <t xml:space="preserve">  Debt balance:</t>
  </si>
  <si>
    <t>Reference prior period EOP B/S</t>
  </si>
  <si>
    <t>WSP assumption</t>
  </si>
  <si>
    <r>
      <t xml:space="preserve">CFO + CFI + CFF </t>
    </r>
    <r>
      <rPr>
        <u/>
        <sz val="11"/>
        <color theme="1"/>
        <rFont val="Calibri"/>
        <family val="2"/>
        <scheme val="minor"/>
      </rPr>
      <t>except revolver</t>
    </r>
  </si>
  <si>
    <t>BOP = previous year EOP</t>
  </si>
  <si>
    <t>Cash (paydown) / additional borrowing from revolver / CP. Paydown not to exceed BOP balance.</t>
  </si>
  <si>
    <t>INTEREST EXPENSE AND INTEREST INCOME</t>
  </si>
  <si>
    <t>Total interest expense</t>
  </si>
  <si>
    <t xml:space="preserve"> Weighted average interest rate</t>
  </si>
  <si>
    <t xml:space="preserve"> End of period balance (from B/S)</t>
  </si>
  <si>
    <t xml:space="preserve"> Interest expense</t>
  </si>
  <si>
    <t>Long term debt</t>
  </si>
  <si>
    <t xml:space="preserve"> Interest rate on cash</t>
  </si>
  <si>
    <t xml:space="preserve"> Weighted average interest rate on cash</t>
  </si>
  <si>
    <t xml:space="preserve"> Interest income</t>
  </si>
  <si>
    <t>Interest expense from revolver / CP + interest expense from long term debt</t>
  </si>
  <si>
    <t>Interest rate x average of BOP &amp; EOP LTD balances</t>
  </si>
  <si>
    <t>Reference from revolver / CP schedule above</t>
  </si>
  <si>
    <t>Interest rate x average of BOP &amp; EOP revolver balances (circularity)</t>
  </si>
  <si>
    <t>Reference from B/S</t>
  </si>
  <si>
    <t>Interest rate x average of BOP &amp; EOP B/S cash (circularity)</t>
  </si>
  <si>
    <t>Select an operating scenario:</t>
  </si>
  <si>
    <t>Base case</t>
  </si>
  <si>
    <t>SENSITIVITY ANALYSIS:</t>
  </si>
  <si>
    <t>Revenue growth rate</t>
  </si>
  <si>
    <t>Gross</t>
  </si>
  <si>
    <t>Margin:</t>
  </si>
  <si>
    <t>Scenario analysis:</t>
  </si>
  <si>
    <t>Active case:</t>
  </si>
  <si>
    <t>Variance from</t>
  </si>
  <si>
    <t xml:space="preserve"> Best case</t>
  </si>
  <si>
    <t xml:space="preserve"> Base case</t>
  </si>
  <si>
    <t xml:space="preserve"> Weak case</t>
  </si>
  <si>
    <t>EARNING PER SHARE</t>
  </si>
  <si>
    <t xml:space="preserve">Fiscal year </t>
  </si>
  <si>
    <t xml:space="preserve">Fiscal year end date </t>
  </si>
  <si>
    <t>Refrence from I/S</t>
  </si>
  <si>
    <t>Basic shares</t>
  </si>
  <si>
    <t>Basic EPS</t>
  </si>
  <si>
    <t>Net income / basic EPS</t>
  </si>
  <si>
    <t>Diluted shares</t>
  </si>
  <si>
    <t>Basic shares + dilutive securities</t>
  </si>
  <si>
    <t>Diluted EPS</t>
  </si>
  <si>
    <t>Net income / diluted shares</t>
  </si>
  <si>
    <t>$ amount of shares repurchased</t>
  </si>
  <si>
    <t>Reference from RE schedule - treasury reperchases (flip sign)</t>
  </si>
  <si>
    <t>$ amount of new shares issued</t>
  </si>
  <si>
    <t>Refrence SBC from I/S</t>
  </si>
  <si>
    <t>Average share price</t>
  </si>
  <si>
    <t>Last peroid share price x ( 1+ growth rate)</t>
  </si>
  <si>
    <t xml:space="preserve">Share price increase </t>
  </si>
  <si>
    <t>WSP assumptions</t>
  </si>
  <si>
    <t>Basis shares - BOP</t>
  </si>
  <si>
    <t>Net change in basic shares</t>
  </si>
  <si>
    <t>Basic shares - EOP</t>
  </si>
  <si>
    <t>Basic shares average</t>
  </si>
  <si>
    <t>Profit</t>
  </si>
  <si>
    <t>First forecast year net income sensitivity</t>
  </si>
  <si>
    <t>NM</t>
  </si>
  <si>
    <t>Scenario analysis schedule below</t>
  </si>
  <si>
    <t>Last period basic shares + ($ shares issued - $ shares repurchased) / current period average share price</t>
  </si>
  <si>
    <t>B/S check</t>
  </si>
  <si>
    <t>Price / volume build</t>
  </si>
  <si>
    <t>Revenue by product</t>
  </si>
  <si>
    <t>Core products:</t>
  </si>
  <si>
    <t>iPhone</t>
  </si>
  <si>
    <t>iPad</t>
  </si>
  <si>
    <t>Mac</t>
  </si>
  <si>
    <t>Services</t>
  </si>
  <si>
    <t>Other products</t>
  </si>
  <si>
    <t>Total revenue</t>
  </si>
  <si>
    <t>% growth</t>
  </si>
  <si>
    <t>Units</t>
  </si>
  <si>
    <t>Average selling price</t>
  </si>
  <si>
    <t>Units % growth</t>
  </si>
  <si>
    <t>Average selling price % growth</t>
  </si>
  <si>
    <t>Revenue growth rate by product</t>
  </si>
  <si>
    <t xml:space="preserve">Services </t>
  </si>
  <si>
    <t>CG estimates through 2020; straight line thereafter</t>
  </si>
  <si>
    <t>CG estimates through 2020; WSP thereafter</t>
  </si>
  <si>
    <t>Iphone asp</t>
  </si>
  <si>
    <t>Iphone units number</t>
  </si>
  <si>
    <t>iphone units</t>
  </si>
  <si>
    <t>iphone average selling price</t>
  </si>
  <si>
    <t xml:space="preserve">5 year </t>
  </si>
  <si>
    <t>CAGR</t>
  </si>
  <si>
    <t>WORKING CAPITAL</t>
  </si>
  <si>
    <t>Fiscal year</t>
  </si>
  <si>
    <t>ACCOUNT RECEIVABLES</t>
  </si>
  <si>
    <t xml:space="preserve"> Increases / (decreases)</t>
  </si>
  <si>
    <t>Average AR as % of sales</t>
  </si>
  <si>
    <t>Select an AR forecasting approach (1=grow with rev, 2=explicit DSO)</t>
  </si>
  <si>
    <t>Approach 1: Grow A/R with revenue growth rate</t>
  </si>
  <si>
    <t>Approach 2: days sales outstanding (DSO) assumption</t>
  </si>
  <si>
    <t xml:space="preserve">Select an inventory forecasting approach </t>
  </si>
  <si>
    <t>Approach 1: Keep avg. inventory / COGS ratio constant</t>
  </si>
  <si>
    <t>Approach 2: Inventory turnover (using 365 day year)</t>
  </si>
  <si>
    <t xml:space="preserve">Working capital ratios / Liquidity </t>
  </si>
  <si>
    <t>Trade A/R days sales outstanding (average) (DSO)</t>
  </si>
  <si>
    <t>Trade A/R + Non-Trade A/R days sales outstanding (average)</t>
  </si>
  <si>
    <t>Days inventories outstanding (DIO)</t>
  </si>
  <si>
    <t>Operating cycle (inc vendor non-trade A/R)</t>
  </si>
  <si>
    <t>Days payable outstanding (DPO)</t>
  </si>
  <si>
    <t>Net operating cycle (Cash conversion cycle)</t>
  </si>
  <si>
    <t>Current ratio (CA/CL)</t>
  </si>
  <si>
    <t>Quik ratio (Cash + A/R /CL)</t>
  </si>
  <si>
    <t>Memo</t>
  </si>
  <si>
    <t>LT Marketable securities</t>
  </si>
  <si>
    <t>LT deferred revenue</t>
  </si>
  <si>
    <t>LT term debt</t>
  </si>
  <si>
    <t>Current assets</t>
  </si>
  <si>
    <t xml:space="preserve">Current liabilities </t>
  </si>
  <si>
    <t>Historical</t>
  </si>
  <si>
    <t>Forecast</t>
  </si>
  <si>
    <t>Vendor non-trade receivables</t>
  </si>
  <si>
    <t>Depreciation waterfall</t>
  </si>
  <si>
    <t>Existing PP&amp;E</t>
  </si>
  <si>
    <t xml:space="preserve">  Gross PP&amp;E</t>
  </si>
  <si>
    <t xml:space="preserve">  Non depreciable PP&amp;E (i.e.land)</t>
  </si>
  <si>
    <t xml:space="preserve">  Accumulated depreciation</t>
  </si>
  <si>
    <t xml:space="preserve">  Net PP&amp;E (excl. land)</t>
  </si>
  <si>
    <t>Average useful life</t>
  </si>
  <si>
    <t>Override - If necessary for smoothing</t>
  </si>
  <si>
    <t>Depreciation from existing PP&amp;E</t>
  </si>
  <si>
    <t>Depreciation from Capex perchased in 2019</t>
  </si>
  <si>
    <t>Depreciation from Capex perchased in 2020</t>
  </si>
  <si>
    <t>Depreciation from Capex perchased in 2021</t>
  </si>
  <si>
    <t>Depreciation from Capex perchased in 2022</t>
  </si>
  <si>
    <t>Depreciation from Capex perchased in 2023</t>
  </si>
  <si>
    <t>Total depreciation</t>
  </si>
  <si>
    <t>Depreciation waterfall schedule</t>
  </si>
  <si>
    <t>10k</t>
  </si>
  <si>
    <t>Mid year adj.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</si>
</sst>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9">
    <numFmt numFmtId="164" formatCode="#,##0;[Red]\(#,##0\)"/>
    <numFmt numFmtId="165" formatCode="m/d/yy;@"/>
    <numFmt numFmtId="166" formatCode="0\P_);\(0\P\)"/>
    <numFmt numFmtId="167" formatCode="0\A;[Red]0\A"/>
    <numFmt numFmtId="168" formatCode="0.0%_);\(0.0%\);@_)"/>
    <numFmt numFmtId="169" formatCode="0.0%"/>
    <numFmt numFmtId="170" formatCode="&quot;$&quot;#,##0.00_);[Red]\(&quot;$&quot;#,##0.00\)"/>
    <numFmt numFmtId="171" formatCode="#,##0;\(#,##0\)"/>
    <numFmt numFmtId="172" formatCode="#,##0_);[Red]\(#,##0\);&quot;OK&quot;"/>
    <numFmt numFmtId="173" formatCode="0.0%_);[Red]\(0.0%\);@_)"/>
    <numFmt numFmtId="174" formatCode="#,##0;[Red]\(#,##0\);\-"/>
    <numFmt numFmtId="175" formatCode="[Blue]#,##0.0%;[Blue]\(#,##0.0%\);\-"/>
    <numFmt numFmtId="176" formatCode="#,##0.000"/>
    <numFmt numFmtId="177" formatCode="#,##0.0%;\(#,##0.0%\);\-"/>
    <numFmt numFmtId="178" formatCode="\$0.00"/>
    <numFmt numFmtId="179" formatCode="#,##0.0%;[Red]\(#,##0.0%\);\-\-"/>
    <numFmt numFmtId="180" formatCode="#,##0.0;[Red]\(#,##0.0\);\-"/>
    <numFmt numFmtId="181" formatCode="#,##0.0%;[Red]\(#,##0.0%\);\-"/>
    <numFmt numFmtId="182" formatCode="#,##0.0%;[Red]\(#,##0.0%\)"/>
    <numFmt numFmtId="183" formatCode="#,##0.0;[Red]\(#,##0.0\)"/>
    <numFmt numFmtId="184" formatCode="0000&quot;A&quot;"/>
    <numFmt numFmtId="185" formatCode="0000&quot;F&quot;"/>
    <numFmt numFmtId="186" formatCode="00\ &quot;days&quot;"/>
    <numFmt numFmtId="187" formatCode="0\ &quot;days&quot;"/>
    <numFmt numFmtId="188" formatCode="0.0\x"/>
    <numFmt numFmtId="189" formatCode="0;[Red]\(0\)&quot;days&quot;"/>
    <numFmt numFmtId="190" formatCode="#,##0.00;[Red]\(#,##0.00\);\-"/>
    <numFmt numFmtId="191" formatCode="0.0"/>
    <numFmt numFmtId="192" formatCode="[Blue]#,##0;[Blue]\(#,##0\);\-"/>
  </numFmts>
  <fonts count="20" x14ac:knownFonts="1">
    <font>
      <sz val="11"/>
      <color theme="1"/>
      <name val="Calibri"/>
      <family val="2"/>
      <scheme val="minor"/>
    </font>
    <font>
      <b/>
      <sz val="11"/>
      <color theme="1"/>
      <name val="Calibri"/>
      <family val="2"/>
      <scheme val="minor"/>
    </font>
    <font>
      <i/>
      <sz val="11"/>
      <color theme="1"/>
      <name val="Calibri"/>
      <family val="2"/>
      <scheme val="minor"/>
    </font>
    <font>
      <sz val="11"/>
      <color rgb="FF0000FF"/>
      <name val="Calibri"/>
      <family val="2"/>
      <scheme val="minor"/>
    </font>
    <font>
      <b/>
      <sz val="11"/>
      <color rgb="FF000000"/>
      <name val="Calibri"/>
      <family val="2"/>
      <scheme val="minor"/>
    </font>
    <font>
      <i/>
      <sz val="11"/>
      <color rgb="FF000000"/>
      <name val="Calibri"/>
      <family val="2"/>
      <scheme val="minor"/>
    </font>
    <font>
      <sz val="11"/>
      <color rgb="FF000000"/>
      <name val="Calibri"/>
      <family val="2"/>
      <scheme val="minor"/>
    </font>
    <font>
      <u/>
      <sz val="11"/>
      <color theme="1"/>
      <name val="Calibri"/>
      <family val="2"/>
      <scheme val="minor"/>
    </font>
    <font>
      <i/>
      <sz val="11"/>
      <color rgb="FF0000FF"/>
      <name val="Calibri"/>
      <family val="2"/>
      <scheme val="minor"/>
    </font>
    <font>
      <i/>
      <sz val="9"/>
      <color rgb="FF000000"/>
      <name val="Calibri"/>
      <family val="2"/>
      <scheme val="minor"/>
    </font>
    <font>
      <b/>
      <sz val="9"/>
      <color indexed="81"/>
      <name val="Tahoma"/>
      <family val="2"/>
    </font>
    <font>
      <sz val="9"/>
      <color indexed="81"/>
      <name val="Tahoma"/>
      <family val="2"/>
    </font>
    <font>
      <b/>
      <i/>
      <sz val="11"/>
      <color rgb="FFC00000"/>
      <name val="Calibri"/>
      <family val="2"/>
      <scheme val="minor"/>
    </font>
    <font>
      <b/>
      <sz val="11"/>
      <color rgb="FF92D050"/>
      <name val="Calibri"/>
      <family val="2"/>
      <scheme val="minor"/>
    </font>
    <font>
      <b/>
      <u/>
      <sz val="11"/>
      <color theme="1"/>
      <name val="Calibri"/>
      <family val="2"/>
      <scheme val="minor"/>
    </font>
    <font>
      <sz val="11"/>
      <color theme="1"/>
      <name val="Calibri"/>
      <family val="2"/>
      <scheme val="minor"/>
    </font>
    <font>
      <b/>
      <sz val="11"/>
      <color rgb="FF0000FF"/>
      <name val="Calibri"/>
      <family val="2"/>
      <scheme val="minor"/>
    </font>
    <font>
      <sz val="8"/>
      <name val="Calibri"/>
      <family val="2"/>
      <scheme val="minor"/>
    </font>
    <font>
      <sz val="11"/>
      <color theme="9"/>
      <name val="Calibri"/>
      <family val="2"/>
      <scheme val="minor"/>
    </font>
    <font>
      <sz val="11"/>
      <color rgb="FF7030A0"/>
      <name val="Calibri"/>
      <family val="2"/>
      <scheme val="minor"/>
    </font>
  </fonts>
  <fills count="10">
    <fill>
      <patternFill patternType="none"/>
    </fill>
    <fill>
      <patternFill patternType="gray125"/>
    </fill>
    <fill>
      <patternFill patternType="solid">
        <fgColor theme="0" tint="-0.14999847407452621"/>
        <bgColor indexed="64"/>
      </patternFill>
    </fill>
    <fill>
      <patternFill patternType="solid">
        <fgColor theme="2"/>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5" tint="0.79998168889431442"/>
        <bgColor indexed="64"/>
      </patternFill>
    </fill>
  </fills>
  <borders count="20">
    <border>
      <left/>
      <right/>
      <top/>
      <bottom/>
      <diagonal/>
    </border>
    <border>
      <left/>
      <right/>
      <top/>
      <bottom style="thin">
        <color rgb="FF000000"/>
      </bottom>
      <diagonal/>
    </border>
    <border>
      <left/>
      <right/>
      <top/>
      <bottom style="thin">
        <color auto="1"/>
      </bottom>
      <diagonal/>
    </border>
    <border>
      <left/>
      <right/>
      <top style="medium">
        <color rgb="FF000000"/>
      </top>
      <bottom/>
      <diagonal/>
    </border>
    <border>
      <left/>
      <right/>
      <top style="medium">
        <color rgb="FF000000"/>
      </top>
      <bottom style="medium">
        <color rgb="FF000000"/>
      </bottom>
      <diagonal/>
    </border>
    <border>
      <left/>
      <right/>
      <top/>
      <bottom style="medium">
        <color indexed="64"/>
      </bottom>
      <diagonal/>
    </border>
    <border>
      <left/>
      <right/>
      <top/>
      <bottom style="hair">
        <color auto="1"/>
      </bottom>
      <diagonal/>
    </border>
    <border>
      <left/>
      <right/>
      <top style="hair">
        <color auto="1"/>
      </top>
      <bottom style="hair">
        <color auto="1"/>
      </bottom>
      <diagonal/>
    </border>
    <border>
      <left/>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auto="1"/>
      </left>
      <right/>
      <top style="thin">
        <color auto="1"/>
      </top>
      <bottom/>
      <diagonal/>
    </border>
    <border>
      <left style="thin">
        <color auto="1"/>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5" fillId="0" borderId="0" applyFont="0" applyFill="0" applyBorder="0" applyAlignment="0" applyProtection="0"/>
  </cellStyleXfs>
  <cellXfs count="223">
    <xf numFmtId="0" fontId="0" fillId="0" borderId="0" xfId="0"/>
    <xf numFmtId="0" fontId="2" fillId="0" borderId="0" xfId="0" applyFont="1"/>
    <xf numFmtId="37" fontId="0" fillId="0" borderId="0" xfId="0" applyNumberFormat="1"/>
    <xf numFmtId="37" fontId="1" fillId="0" borderId="0" xfId="0" applyNumberFormat="1" applyFont="1"/>
    <xf numFmtId="0" fontId="1" fillId="0" borderId="0" xfId="0" applyFont="1" applyAlignment="1">
      <alignment horizontal="left"/>
    </xf>
    <xf numFmtId="164" fontId="0" fillId="0" borderId="0" xfId="0" applyNumberFormat="1"/>
    <xf numFmtId="37" fontId="3" fillId="0" borderId="0" xfId="0" applyNumberFormat="1" applyFont="1"/>
    <xf numFmtId="0" fontId="0" fillId="0" borderId="0" xfId="0" applyAlignment="1">
      <alignment horizontal="left"/>
    </xf>
    <xf numFmtId="37" fontId="4" fillId="0" borderId="0" xfId="0" applyNumberFormat="1" applyFont="1"/>
    <xf numFmtId="165" fontId="5" fillId="0" borderId="1" xfId="0" applyNumberFormat="1" applyFont="1" applyBorder="1"/>
    <xf numFmtId="0" fontId="0" fillId="0" borderId="1" xfId="0" applyBorder="1"/>
    <xf numFmtId="166" fontId="4" fillId="0" borderId="0" xfId="0" applyNumberFormat="1" applyFont="1"/>
    <xf numFmtId="167" fontId="4" fillId="0" borderId="0" xfId="0" applyNumberFormat="1" applyFont="1"/>
    <xf numFmtId="14" fontId="2" fillId="0" borderId="0" xfId="0" applyNumberFormat="1" applyFont="1"/>
    <xf numFmtId="165" fontId="2" fillId="0" borderId="1" xfId="0" applyNumberFormat="1" applyFont="1" applyBorder="1"/>
    <xf numFmtId="0" fontId="1" fillId="0" borderId="1" xfId="0" applyFont="1" applyBorder="1"/>
    <xf numFmtId="4" fontId="0" fillId="0" borderId="0" xfId="0" applyNumberFormat="1"/>
    <xf numFmtId="0" fontId="0" fillId="0" borderId="0" xfId="0" applyAlignment="1">
      <alignment horizontal="left" indent="1"/>
    </xf>
    <xf numFmtId="168" fontId="3" fillId="0" borderId="0" xfId="0" applyNumberFormat="1" applyFont="1"/>
    <xf numFmtId="168" fontId="6" fillId="2" borderId="0" xfId="0" applyNumberFormat="1" applyFont="1" applyFill="1"/>
    <xf numFmtId="168" fontId="6" fillId="0" borderId="0" xfId="0" applyNumberFormat="1" applyFont="1"/>
    <xf numFmtId="0" fontId="7" fillId="0" borderId="0" xfId="0" applyFont="1"/>
    <xf numFmtId="0" fontId="1" fillId="0" borderId="0" xfId="0" applyFont="1"/>
    <xf numFmtId="164" fontId="6" fillId="0" borderId="0" xfId="0" applyNumberFormat="1" applyFont="1"/>
    <xf numFmtId="0" fontId="0" fillId="0" borderId="0" xfId="0" quotePrefix="1"/>
    <xf numFmtId="37" fontId="6" fillId="0" borderId="0" xfId="0" applyNumberFormat="1" applyFont="1"/>
    <xf numFmtId="165" fontId="2" fillId="0" borderId="0" xfId="0" applyNumberFormat="1" applyFont="1"/>
    <xf numFmtId="169" fontId="2" fillId="0" borderId="0" xfId="0" applyNumberFormat="1" applyFont="1"/>
    <xf numFmtId="165" fontId="8" fillId="0" borderId="0" xfId="0" applyNumberFormat="1" applyFont="1"/>
    <xf numFmtId="0" fontId="0" fillId="0" borderId="2" xfId="0" applyBorder="1"/>
    <xf numFmtId="0" fontId="1" fillId="0" borderId="2" xfId="0" applyFont="1" applyBorder="1"/>
    <xf numFmtId="165" fontId="2" fillId="0" borderId="2" xfId="0" applyNumberFormat="1" applyFont="1" applyBorder="1"/>
    <xf numFmtId="0" fontId="2" fillId="0" borderId="1" xfId="0" applyFont="1" applyBorder="1"/>
    <xf numFmtId="166" fontId="1" fillId="0" borderId="0" xfId="0" applyNumberFormat="1" applyFont="1"/>
    <xf numFmtId="167" fontId="1" fillId="0" borderId="0" xfId="0" applyNumberFormat="1" applyFont="1"/>
    <xf numFmtId="165" fontId="3" fillId="0" borderId="0" xfId="0" applyNumberFormat="1" applyFont="1" applyAlignment="1">
      <alignment horizontal="center"/>
    </xf>
    <xf numFmtId="0" fontId="6" fillId="0" borderId="0" xfId="0" applyFont="1"/>
    <xf numFmtId="14" fontId="3" fillId="0" borderId="0" xfId="0" applyNumberFormat="1" applyFont="1" applyAlignment="1">
      <alignment horizontal="center"/>
    </xf>
    <xf numFmtId="170" fontId="3" fillId="0" borderId="0" xfId="0" applyNumberFormat="1" applyFont="1" applyAlignment="1">
      <alignment horizontal="center"/>
    </xf>
    <xf numFmtId="0" fontId="3" fillId="0" borderId="0" xfId="0" applyFont="1" applyAlignment="1">
      <alignment horizontal="center"/>
    </xf>
    <xf numFmtId="0" fontId="0" fillId="0" borderId="3" xfId="0" applyBorder="1"/>
    <xf numFmtId="0" fontId="9" fillId="0" borderId="3" xfId="0" applyFont="1" applyBorder="1"/>
    <xf numFmtId="0" fontId="0" fillId="0" borderId="4" xfId="0" applyBorder="1"/>
    <xf numFmtId="0" fontId="1" fillId="0" borderId="4" xfId="0" applyFont="1" applyBorder="1"/>
    <xf numFmtId="37" fontId="3" fillId="0" borderId="0" xfId="0" applyNumberFormat="1" applyFont="1" applyAlignment="1">
      <alignment horizontal="center"/>
    </xf>
    <xf numFmtId="171" fontId="3" fillId="0" borderId="0" xfId="0" applyNumberFormat="1" applyFont="1"/>
    <xf numFmtId="0" fontId="0" fillId="0" borderId="0" xfId="0" applyBorder="1"/>
    <xf numFmtId="37" fontId="3" fillId="0" borderId="0" xfId="0" applyNumberFormat="1" applyFont="1" applyAlignment="1"/>
    <xf numFmtId="0" fontId="12" fillId="0" borderId="0" xfId="0" applyFont="1"/>
    <xf numFmtId="0" fontId="0" fillId="0" borderId="1" xfId="0" applyFill="1" applyBorder="1" applyAlignment="1">
      <alignment horizontal="center"/>
    </xf>
    <xf numFmtId="164" fontId="1" fillId="0" borderId="0" xfId="0" applyNumberFormat="1" applyFont="1"/>
    <xf numFmtId="0" fontId="0" fillId="0" borderId="0" xfId="0" applyFill="1" applyAlignment="1">
      <alignment horizontal="left"/>
    </xf>
    <xf numFmtId="172" fontId="12" fillId="0" borderId="0" xfId="0" applyNumberFormat="1" applyFont="1" applyAlignment="1"/>
    <xf numFmtId="173" fontId="6" fillId="2" borderId="0" xfId="0" applyNumberFormat="1" applyFont="1" applyFill="1"/>
    <xf numFmtId="164" fontId="3" fillId="0" borderId="0" xfId="0" applyNumberFormat="1" applyFont="1"/>
    <xf numFmtId="168" fontId="0" fillId="0" borderId="0" xfId="0" applyNumberFormat="1"/>
    <xf numFmtId="168" fontId="0" fillId="4" borderId="0" xfId="0" applyNumberFormat="1" applyFill="1"/>
    <xf numFmtId="0" fontId="1" fillId="0" borderId="5" xfId="0" applyFont="1" applyBorder="1"/>
    <xf numFmtId="164" fontId="0" fillId="0" borderId="5" xfId="0" applyNumberFormat="1" applyBorder="1"/>
    <xf numFmtId="0" fontId="0" fillId="0" borderId="5" xfId="0" applyBorder="1"/>
    <xf numFmtId="164" fontId="0" fillId="0" borderId="0" xfId="0" applyNumberFormat="1" applyBorder="1"/>
    <xf numFmtId="3" fontId="0" fillId="0" borderId="0" xfId="0" applyNumberFormat="1" applyBorder="1"/>
    <xf numFmtId="164" fontId="0" fillId="0" borderId="0" xfId="0" applyNumberFormat="1" applyFill="1"/>
    <xf numFmtId="0" fontId="1" fillId="0" borderId="0" xfId="0" applyFont="1" applyFill="1"/>
    <xf numFmtId="0" fontId="0" fillId="0" borderId="0" xfId="0" applyFont="1"/>
    <xf numFmtId="0" fontId="0" fillId="0" borderId="0" xfId="0" applyFont="1" applyBorder="1"/>
    <xf numFmtId="164" fontId="0" fillId="0" borderId="6" xfId="0" applyNumberFormat="1" applyBorder="1"/>
    <xf numFmtId="0" fontId="1" fillId="0" borderId="7" xfId="0" applyFont="1" applyBorder="1"/>
    <xf numFmtId="164" fontId="0" fillId="0" borderId="7" xfId="0" applyNumberFormat="1" applyBorder="1"/>
    <xf numFmtId="0" fontId="0" fillId="0" borderId="6" xfId="0" applyBorder="1"/>
    <xf numFmtId="0" fontId="13" fillId="0" borderId="6" xfId="0" applyFont="1" applyBorder="1"/>
    <xf numFmtId="164" fontId="0" fillId="0" borderId="6" xfId="0" applyNumberFormat="1" applyFill="1" applyBorder="1"/>
    <xf numFmtId="171" fontId="3" fillId="0" borderId="6" xfId="0" applyNumberFormat="1" applyFont="1" applyBorder="1"/>
    <xf numFmtId="168" fontId="0" fillId="0" borderId="6" xfId="0" applyNumberFormat="1" applyBorder="1"/>
    <xf numFmtId="0" fontId="1" fillId="0" borderId="0" xfId="0" applyFont="1" applyBorder="1"/>
    <xf numFmtId="164" fontId="1" fillId="0" borderId="0" xfId="0" applyNumberFormat="1" applyFont="1" applyBorder="1"/>
    <xf numFmtId="0" fontId="0" fillId="0" borderId="6" xfId="0" applyFont="1" applyBorder="1"/>
    <xf numFmtId="171" fontId="3" fillId="0" borderId="0" xfId="0" applyNumberFormat="1" applyFont="1" applyBorder="1"/>
    <xf numFmtId="164" fontId="1" fillId="0" borderId="7" xfId="0" applyNumberFormat="1" applyFont="1" applyBorder="1"/>
    <xf numFmtId="37" fontId="0" fillId="0" borderId="0" xfId="0" applyNumberFormat="1" applyFill="1"/>
    <xf numFmtId="0" fontId="14" fillId="0" borderId="0" xfId="0" applyFont="1"/>
    <xf numFmtId="10" fontId="0" fillId="0" borderId="0" xfId="1" applyNumberFormat="1" applyFont="1"/>
    <xf numFmtId="10" fontId="3" fillId="0" borderId="0" xfId="1" applyNumberFormat="1" applyFont="1"/>
    <xf numFmtId="10" fontId="0" fillId="0" borderId="6" xfId="1" applyNumberFormat="1" applyFont="1" applyBorder="1"/>
    <xf numFmtId="169" fontId="0" fillId="0" borderId="6" xfId="1" applyNumberFormat="1" applyFont="1" applyBorder="1"/>
    <xf numFmtId="10" fontId="3" fillId="0" borderId="6" xfId="1" applyNumberFormat="1" applyFont="1" applyBorder="1"/>
    <xf numFmtId="0" fontId="0" fillId="0" borderId="0" xfId="0" applyFill="1"/>
    <xf numFmtId="171" fontId="3" fillId="0" borderId="0" xfId="0" applyNumberFormat="1" applyFont="1" applyFill="1"/>
    <xf numFmtId="0" fontId="0" fillId="5" borderId="0" xfId="0" applyFill="1" applyAlignment="1">
      <alignment horizontal="center"/>
    </xf>
    <xf numFmtId="174" fontId="0" fillId="0" borderId="0" xfId="0" applyNumberFormat="1"/>
    <xf numFmtId="174" fontId="0" fillId="0" borderId="2" xfId="0" applyNumberFormat="1" applyBorder="1" applyAlignment="1">
      <alignment horizontal="center"/>
    </xf>
    <xf numFmtId="174" fontId="0" fillId="0" borderId="0" xfId="0" applyNumberFormat="1" applyAlignment="1">
      <alignment horizontal="center"/>
    </xf>
    <xf numFmtId="0" fontId="1" fillId="0" borderId="2" xfId="0" applyFont="1" applyBorder="1" applyAlignment="1">
      <alignment horizontal="left"/>
    </xf>
    <xf numFmtId="176" fontId="0" fillId="6" borderId="0" xfId="0" applyNumberFormat="1" applyFill="1" applyAlignment="1">
      <alignment horizontal="center"/>
    </xf>
    <xf numFmtId="174" fontId="0" fillId="0" borderId="9" xfId="0" applyNumberFormat="1" applyBorder="1" applyAlignment="1">
      <alignment horizontal="center"/>
    </xf>
    <xf numFmtId="176" fontId="0" fillId="0" borderId="10" xfId="0" applyNumberFormat="1" applyBorder="1" applyAlignment="1">
      <alignment horizontal="center"/>
    </xf>
    <xf numFmtId="177" fontId="0" fillId="7" borderId="0" xfId="0" applyNumberFormat="1" applyFill="1" applyAlignment="1">
      <alignment horizontal="center"/>
    </xf>
    <xf numFmtId="174" fontId="0" fillId="0" borderId="11" xfId="0" applyNumberFormat="1" applyBorder="1" applyAlignment="1">
      <alignment horizontal="center"/>
    </xf>
    <xf numFmtId="169" fontId="0" fillId="0" borderId="0" xfId="1" applyNumberFormat="1" applyFont="1" applyAlignment="1">
      <alignment horizontal="center"/>
    </xf>
    <xf numFmtId="175" fontId="0" fillId="0" borderId="11" xfId="1" applyNumberFormat="1" applyFont="1" applyBorder="1" applyAlignment="1">
      <alignment horizontal="center"/>
    </xf>
    <xf numFmtId="177" fontId="0" fillId="0" borderId="0" xfId="0" applyNumberFormat="1" applyAlignment="1">
      <alignment horizontal="center"/>
    </xf>
    <xf numFmtId="175" fontId="0" fillId="0" borderId="0" xfId="0" applyNumberFormat="1" applyAlignment="1">
      <alignment horizontal="center"/>
    </xf>
    <xf numFmtId="175" fontId="0" fillId="0" borderId="12" xfId="1" applyNumberFormat="1" applyFont="1" applyBorder="1" applyAlignment="1">
      <alignment horizontal="center"/>
    </xf>
    <xf numFmtId="174" fontId="0" fillId="4" borderId="0" xfId="0" applyNumberFormat="1" applyFill="1" applyAlignment="1">
      <alignment horizontal="center"/>
    </xf>
    <xf numFmtId="178" fontId="1" fillId="4" borderId="0" xfId="0" applyNumberFormat="1" applyFont="1" applyFill="1" applyAlignment="1">
      <alignment horizontal="center"/>
    </xf>
    <xf numFmtId="178" fontId="0" fillId="4" borderId="0" xfId="0" applyNumberFormat="1" applyFill="1" applyAlignment="1">
      <alignment horizontal="center"/>
    </xf>
    <xf numFmtId="174" fontId="1" fillId="0" borderId="0" xfId="0" applyNumberFormat="1" applyFont="1"/>
    <xf numFmtId="174" fontId="0" fillId="7" borderId="13" xfId="0" applyNumberFormat="1" applyFill="1" applyBorder="1" applyAlignment="1">
      <alignment horizontal="center"/>
    </xf>
    <xf numFmtId="175" fontId="0" fillId="7" borderId="8" xfId="1" applyNumberFormat="1" applyFont="1" applyFill="1" applyBorder="1" applyAlignment="1">
      <alignment horizontal="center"/>
    </xf>
    <xf numFmtId="175" fontId="0" fillId="7" borderId="14" xfId="1" applyNumberFormat="1" applyFont="1" applyFill="1" applyBorder="1" applyAlignment="1">
      <alignment horizontal="center"/>
    </xf>
    <xf numFmtId="174" fontId="0" fillId="7" borderId="15" xfId="0" applyNumberFormat="1" applyFill="1" applyBorder="1" applyAlignment="1">
      <alignment horizontal="center"/>
    </xf>
    <xf numFmtId="174" fontId="0" fillId="7" borderId="16" xfId="0" applyNumberFormat="1" applyFill="1" applyBorder="1" applyAlignment="1">
      <alignment horizontal="center"/>
    </xf>
    <xf numFmtId="174" fontId="0" fillId="7" borderId="17" xfId="0" applyNumberFormat="1" applyFill="1" applyBorder="1" applyAlignment="1">
      <alignment horizontal="center"/>
    </xf>
    <xf numFmtId="174" fontId="0" fillId="7" borderId="0" xfId="0" applyNumberFormat="1" applyFill="1" applyBorder="1" applyAlignment="1">
      <alignment horizontal="center"/>
    </xf>
    <xf numFmtId="174" fontId="0" fillId="7" borderId="14" xfId="0" applyNumberFormat="1" applyFill="1" applyBorder="1"/>
    <xf numFmtId="174" fontId="0" fillId="7" borderId="17" xfId="0" applyNumberFormat="1" applyFill="1" applyBorder="1"/>
    <xf numFmtId="174" fontId="7" fillId="7" borderId="0" xfId="0" applyNumberFormat="1" applyFont="1" applyFill="1" applyBorder="1"/>
    <xf numFmtId="174" fontId="0" fillId="7" borderId="0" xfId="0" applyNumberFormat="1" applyFill="1" applyBorder="1"/>
    <xf numFmtId="174" fontId="0" fillId="7" borderId="14" xfId="0" applyNumberFormat="1" applyFill="1" applyBorder="1" applyAlignment="1">
      <alignment horizontal="center"/>
    </xf>
    <xf numFmtId="0" fontId="1" fillId="0" borderId="0" xfId="0" applyFont="1" applyAlignment="1">
      <alignment horizontal="right" vertical="center"/>
    </xf>
    <xf numFmtId="174" fontId="0" fillId="0" borderId="5" xfId="0" applyNumberFormat="1" applyBorder="1" applyAlignment="1">
      <alignment horizontal="center"/>
    </xf>
    <xf numFmtId="37" fontId="3" fillId="5" borderId="0" xfId="0" applyNumberFormat="1" applyFont="1" applyFill="1" applyAlignment="1">
      <alignment horizontal="center"/>
    </xf>
    <xf numFmtId="37" fontId="6" fillId="0" borderId="0" xfId="0" applyNumberFormat="1" applyFont="1" applyAlignment="1">
      <alignment horizontal="right"/>
    </xf>
    <xf numFmtId="177" fontId="0" fillId="7" borderId="18" xfId="0" applyNumberFormat="1" applyFill="1" applyBorder="1" applyAlignment="1">
      <alignment horizontal="center"/>
    </xf>
    <xf numFmtId="177" fontId="0" fillId="7" borderId="11" xfId="0" applyNumberFormat="1" applyFill="1" applyBorder="1" applyAlignment="1">
      <alignment horizontal="center"/>
    </xf>
    <xf numFmtId="168" fontId="3" fillId="2" borderId="0" xfId="0" applyNumberFormat="1" applyFont="1" applyFill="1"/>
    <xf numFmtId="178" fontId="16" fillId="4" borderId="0" xfId="0" applyNumberFormat="1" applyFont="1" applyFill="1" applyAlignment="1">
      <alignment horizontal="center"/>
    </xf>
    <xf numFmtId="9" fontId="3" fillId="0" borderId="0" xfId="1" applyFont="1" applyAlignment="1">
      <alignment horizontal="center"/>
    </xf>
    <xf numFmtId="174" fontId="0" fillId="0" borderId="0" xfId="0" applyNumberFormat="1" applyFont="1"/>
    <xf numFmtId="174" fontId="3" fillId="4" borderId="0" xfId="0" applyNumberFormat="1" applyFont="1" applyFill="1" applyAlignment="1">
      <alignment horizontal="center"/>
    </xf>
    <xf numFmtId="174" fontId="1" fillId="0" borderId="0" xfId="0" applyNumberFormat="1" applyFont="1" applyAlignment="1">
      <alignment horizontal="center"/>
    </xf>
    <xf numFmtId="174" fontId="0" fillId="7" borderId="0" xfId="0" applyNumberFormat="1" applyFill="1" applyAlignment="1">
      <alignment horizontal="center"/>
    </xf>
    <xf numFmtId="174" fontId="1" fillId="7" borderId="0" xfId="0" applyNumberFormat="1" applyFont="1" applyFill="1" applyAlignment="1">
      <alignment horizontal="center"/>
    </xf>
    <xf numFmtId="179" fontId="0" fillId="7" borderId="0" xfId="0" applyNumberFormat="1" applyFill="1" applyAlignment="1">
      <alignment horizontal="center"/>
    </xf>
    <xf numFmtId="180" fontId="0" fillId="0" borderId="0" xfId="0" applyNumberFormat="1" applyAlignment="1">
      <alignment horizontal="center"/>
    </xf>
    <xf numFmtId="180" fontId="0" fillId="7" borderId="0" xfId="0" applyNumberFormat="1" applyFill="1" applyAlignment="1">
      <alignment horizontal="center"/>
    </xf>
    <xf numFmtId="181" fontId="0" fillId="0" borderId="0" xfId="0" applyNumberFormat="1" applyAlignment="1">
      <alignment horizontal="center"/>
    </xf>
    <xf numFmtId="179" fontId="0" fillId="0" borderId="0" xfId="1" applyNumberFormat="1" applyFont="1" applyAlignment="1">
      <alignment horizontal="center"/>
    </xf>
    <xf numFmtId="181" fontId="0" fillId="7" borderId="0" xfId="0" applyNumberFormat="1" applyFill="1" applyAlignment="1">
      <alignment horizontal="center"/>
    </xf>
    <xf numFmtId="179" fontId="0" fillId="0" borderId="0" xfId="0" applyNumberFormat="1" applyAlignment="1">
      <alignment horizontal="center"/>
    </xf>
    <xf numFmtId="174" fontId="3" fillId="0" borderId="0" xfId="0" applyNumberFormat="1" applyFont="1" applyAlignment="1">
      <alignment horizontal="center"/>
    </xf>
    <xf numFmtId="174" fontId="3" fillId="7" borderId="0" xfId="0" applyNumberFormat="1" applyFont="1" applyFill="1" applyAlignment="1">
      <alignment horizontal="center"/>
    </xf>
    <xf numFmtId="182" fontId="0" fillId="0" borderId="0" xfId="1" applyNumberFormat="1" applyFont="1" applyAlignment="1">
      <alignment horizontal="center"/>
    </xf>
    <xf numFmtId="182" fontId="0" fillId="7" borderId="0" xfId="0" applyNumberFormat="1" applyFill="1" applyAlignment="1">
      <alignment horizontal="center"/>
    </xf>
    <xf numFmtId="180" fontId="3" fillId="7" borderId="0" xfId="0" applyNumberFormat="1" applyFont="1" applyFill="1" applyAlignment="1">
      <alignment horizontal="center"/>
    </xf>
    <xf numFmtId="179" fontId="1" fillId="0" borderId="0" xfId="0" applyNumberFormat="1" applyFont="1" applyAlignment="1">
      <alignment horizontal="center"/>
    </xf>
    <xf numFmtId="164" fontId="0" fillId="0" borderId="0" xfId="0" applyNumberFormat="1" applyAlignment="1">
      <alignment horizontal="center"/>
    </xf>
    <xf numFmtId="183" fontId="0" fillId="0" borderId="0" xfId="0" applyNumberFormat="1" applyAlignment="1">
      <alignment horizontal="center"/>
    </xf>
    <xf numFmtId="164" fontId="0" fillId="7" borderId="0" xfId="0" applyNumberFormat="1" applyFill="1" applyAlignment="1">
      <alignment horizontal="center"/>
    </xf>
    <xf numFmtId="171" fontId="3" fillId="0" borderId="11" xfId="1" applyNumberFormat="1" applyFont="1" applyBorder="1" applyAlignment="1">
      <alignment horizontal="center"/>
    </xf>
    <xf numFmtId="164" fontId="3" fillId="0" borderId="11" xfId="1" applyNumberFormat="1" applyFont="1" applyBorder="1" applyAlignment="1">
      <alignment horizontal="center"/>
    </xf>
    <xf numFmtId="164" fontId="0" fillId="7" borderId="18" xfId="0" applyNumberFormat="1" applyFill="1" applyBorder="1" applyAlignment="1">
      <alignment horizontal="center"/>
    </xf>
    <xf numFmtId="182" fontId="0" fillId="0" borderId="0" xfId="0" applyNumberFormat="1" applyAlignment="1">
      <alignment horizontal="center"/>
    </xf>
    <xf numFmtId="180" fontId="18" fillId="7" borderId="0" xfId="0" applyNumberFormat="1" applyFont="1" applyFill="1" applyAlignment="1">
      <alignment horizontal="center"/>
    </xf>
    <xf numFmtId="174" fontId="18" fillId="7" borderId="0" xfId="0" applyNumberFormat="1" applyFont="1" applyFill="1" applyAlignment="1">
      <alignment horizontal="center"/>
    </xf>
    <xf numFmtId="165" fontId="2" fillId="0" borderId="0" xfId="0" applyNumberFormat="1" applyFont="1" applyBorder="1"/>
    <xf numFmtId="165" fontId="5" fillId="0" borderId="0" xfId="0" applyNumberFormat="1" applyFont="1" applyBorder="1"/>
    <xf numFmtId="0" fontId="0" fillId="0" borderId="0" xfId="0" applyFill="1" applyBorder="1" applyAlignment="1">
      <alignment horizontal="center"/>
    </xf>
    <xf numFmtId="164" fontId="0" fillId="0" borderId="0" xfId="0" applyNumberFormat="1" applyFill="1" applyBorder="1"/>
    <xf numFmtId="168" fontId="0" fillId="0" borderId="0" xfId="0" applyNumberFormat="1" applyBorder="1"/>
    <xf numFmtId="169" fontId="0" fillId="0" borderId="0" xfId="1" applyNumberFormat="1" applyFont="1" applyBorder="1"/>
    <xf numFmtId="10" fontId="0" fillId="0" borderId="0" xfId="1" applyNumberFormat="1" applyFont="1" applyBorder="1"/>
    <xf numFmtId="174" fontId="0" fillId="0" borderId="0" xfId="0" applyNumberFormat="1" applyBorder="1" applyAlignment="1">
      <alignment horizontal="center"/>
    </xf>
    <xf numFmtId="166" fontId="1" fillId="0" borderId="8" xfId="0" applyNumberFormat="1" applyFont="1" applyBorder="1" applyAlignment="1">
      <alignment horizontal="center"/>
    </xf>
    <xf numFmtId="165" fontId="2" fillId="0" borderId="2" xfId="0" applyNumberFormat="1" applyFont="1" applyBorder="1" applyAlignment="1">
      <alignment horizontal="center"/>
    </xf>
    <xf numFmtId="168" fontId="6" fillId="7" borderId="0" xfId="0" applyNumberFormat="1" applyFont="1" applyFill="1"/>
    <xf numFmtId="173" fontId="6" fillId="0" borderId="0" xfId="0" applyNumberFormat="1" applyFont="1" applyFill="1"/>
    <xf numFmtId="168" fontId="6" fillId="0" borderId="0" xfId="0" applyNumberFormat="1" applyFont="1" applyFill="1"/>
    <xf numFmtId="173" fontId="18" fillId="2" borderId="0" xfId="0" applyNumberFormat="1" applyFont="1" applyFill="1"/>
    <xf numFmtId="168" fontId="18" fillId="2" borderId="0" xfId="0" applyNumberFormat="1" applyFont="1" applyFill="1"/>
    <xf numFmtId="174" fontId="0" fillId="0" borderId="5" xfId="0" applyNumberFormat="1" applyBorder="1"/>
    <xf numFmtId="184" fontId="1" fillId="0" borderId="0" xfId="0" applyNumberFormat="1" applyFont="1" applyAlignment="1">
      <alignment horizontal="center"/>
    </xf>
    <xf numFmtId="174" fontId="0" fillId="7" borderId="0" xfId="0" applyNumberFormat="1" applyFill="1"/>
    <xf numFmtId="169" fontId="0" fillId="0" borderId="0" xfId="1" applyNumberFormat="1" applyFont="1"/>
    <xf numFmtId="174" fontId="0" fillId="8" borderId="19" xfId="0" applyNumberFormat="1" applyFill="1" applyBorder="1"/>
    <xf numFmtId="186" fontId="0" fillId="7" borderId="0" xfId="0" applyNumberFormat="1" applyFill="1"/>
    <xf numFmtId="187" fontId="0" fillId="7" borderId="0" xfId="0" applyNumberFormat="1" applyFill="1"/>
    <xf numFmtId="167" fontId="1" fillId="0" borderId="0" xfId="0" applyNumberFormat="1" applyFont="1" applyAlignment="1">
      <alignment horizontal="center"/>
    </xf>
    <xf numFmtId="166" fontId="1" fillId="0" borderId="0" xfId="0" applyNumberFormat="1" applyFont="1" applyAlignment="1">
      <alignment horizontal="center"/>
    </xf>
    <xf numFmtId="165" fontId="0" fillId="0" borderId="2" xfId="0" applyNumberFormat="1" applyBorder="1" applyAlignment="1">
      <alignment horizontal="center"/>
    </xf>
    <xf numFmtId="174" fontId="0" fillId="0" borderId="0" xfId="0" applyNumberFormat="1" applyFill="1" applyBorder="1"/>
    <xf numFmtId="185" fontId="1" fillId="0" borderId="0" xfId="0" applyNumberFormat="1" applyFont="1" applyFill="1" applyBorder="1" applyAlignment="1">
      <alignment horizontal="center"/>
    </xf>
    <xf numFmtId="174" fontId="0" fillId="0" borderId="0" xfId="0" applyNumberFormat="1" applyFill="1" applyBorder="1" applyAlignment="1">
      <alignment horizontal="center"/>
    </xf>
    <xf numFmtId="174" fontId="0" fillId="0" borderId="0" xfId="0" applyNumberFormat="1" applyBorder="1"/>
    <xf numFmtId="0" fontId="1" fillId="0" borderId="0" xfId="0" applyFont="1" applyFill="1" applyBorder="1"/>
    <xf numFmtId="174" fontId="1" fillId="7" borderId="0" xfId="0" applyNumberFormat="1" applyFont="1" applyFill="1"/>
    <xf numFmtId="187" fontId="0" fillId="0" borderId="0" xfId="0" applyNumberFormat="1"/>
    <xf numFmtId="187" fontId="3" fillId="7" borderId="0" xfId="0" applyNumberFormat="1" applyFont="1" applyFill="1"/>
    <xf numFmtId="179" fontId="0" fillId="7" borderId="0" xfId="0" applyNumberFormat="1" applyFill="1"/>
    <xf numFmtId="182" fontId="0" fillId="0" borderId="0" xfId="0" applyNumberFormat="1"/>
    <xf numFmtId="182" fontId="0" fillId="7" borderId="0" xfId="1" applyNumberFormat="1" applyFont="1" applyFill="1"/>
    <xf numFmtId="188" fontId="0" fillId="0" borderId="0" xfId="0" applyNumberFormat="1"/>
    <xf numFmtId="188" fontId="3" fillId="7" borderId="0" xfId="0" applyNumberFormat="1" applyFont="1" applyFill="1"/>
    <xf numFmtId="3" fontId="3" fillId="0" borderId="0" xfId="0" applyNumberFormat="1" applyFont="1"/>
    <xf numFmtId="187" fontId="1" fillId="7" borderId="0" xfId="0" applyNumberFormat="1" applyFont="1" applyFill="1"/>
    <xf numFmtId="189" fontId="1" fillId="7" borderId="0" xfId="0" applyNumberFormat="1" applyFont="1" applyFill="1"/>
    <xf numFmtId="3" fontId="0" fillId="0" borderId="0" xfId="0" applyNumberFormat="1"/>
    <xf numFmtId="190" fontId="0" fillId="0" borderId="0" xfId="0" applyNumberFormat="1"/>
    <xf numFmtId="168" fontId="0" fillId="0" borderId="0" xfId="0" applyNumberFormat="1" applyFill="1"/>
    <xf numFmtId="169" fontId="0" fillId="0" borderId="2" xfId="1" applyNumberFormat="1" applyFont="1" applyBorder="1" applyAlignment="1">
      <alignment horizontal="center"/>
    </xf>
    <xf numFmtId="169" fontId="0" fillId="0" borderId="2" xfId="1" applyNumberFormat="1" applyFont="1" applyFill="1" applyBorder="1" applyAlignment="1">
      <alignment horizontal="center"/>
    </xf>
    <xf numFmtId="169" fontId="0" fillId="0" borderId="0" xfId="1" applyNumberFormat="1" applyFont="1" applyFill="1" applyAlignment="1">
      <alignment horizontal="center"/>
    </xf>
    <xf numFmtId="180" fontId="0" fillId="4" borderId="0" xfId="0" applyNumberFormat="1" applyFill="1" applyAlignment="1">
      <alignment horizontal="center"/>
    </xf>
    <xf numFmtId="191" fontId="0" fillId="7" borderId="0" xfId="1" applyNumberFormat="1" applyFont="1" applyFill="1" applyAlignment="1">
      <alignment horizontal="center"/>
    </xf>
    <xf numFmtId="174" fontId="1" fillId="4" borderId="0" xfId="0" applyNumberFormat="1" applyFont="1" applyFill="1" applyAlignment="1">
      <alignment horizontal="center"/>
    </xf>
    <xf numFmtId="174" fontId="0" fillId="0" borderId="0" xfId="0" applyNumberFormat="1" applyFill="1" applyAlignment="1">
      <alignment horizontal="center"/>
    </xf>
    <xf numFmtId="174" fontId="1" fillId="0" borderId="0" xfId="0" applyNumberFormat="1" applyFont="1" applyFill="1" applyAlignment="1">
      <alignment horizontal="center"/>
    </xf>
    <xf numFmtId="164" fontId="0" fillId="9" borderId="6" xfId="0" applyNumberFormat="1" applyFill="1" applyBorder="1"/>
    <xf numFmtId="169" fontId="7" fillId="0" borderId="0" xfId="1" applyNumberFormat="1" applyFont="1" applyAlignment="1">
      <alignment horizontal="center"/>
    </xf>
    <xf numFmtId="164" fontId="3" fillId="0" borderId="0" xfId="0" applyNumberFormat="1" applyFont="1" applyAlignment="1">
      <alignment horizontal="center"/>
    </xf>
    <xf numFmtId="183" fontId="3" fillId="0" borderId="0" xfId="0" applyNumberFormat="1" applyFont="1" applyAlignment="1">
      <alignment horizontal="center"/>
    </xf>
    <xf numFmtId="0" fontId="2" fillId="0" borderId="2" xfId="0" applyFont="1" applyBorder="1"/>
    <xf numFmtId="192" fontId="3" fillId="0" borderId="0" xfId="0" applyNumberFormat="1" applyFont="1"/>
    <xf numFmtId="0" fontId="0" fillId="3" borderId="1" xfId="0" applyFill="1" applyBorder="1" applyAlignment="1">
      <alignment horizontal="center"/>
    </xf>
    <xf numFmtId="174" fontId="1" fillId="0" borderId="0" xfId="0" applyNumberFormat="1" applyFont="1" applyBorder="1" applyAlignment="1">
      <alignment horizontal="center"/>
    </xf>
    <xf numFmtId="174" fontId="19" fillId="0" borderId="0" xfId="0" applyNumberFormat="1" applyFont="1" applyFill="1" applyBorder="1" applyAlignment="1">
      <alignment horizontal="center"/>
    </xf>
    <xf numFmtId="0" fontId="0" fillId="3" borderId="2" xfId="0" applyFill="1" applyBorder="1" applyAlignment="1">
      <alignment horizontal="center"/>
    </xf>
    <xf numFmtId="177" fontId="0" fillId="0" borderId="0" xfId="0" applyNumberFormat="1" applyFill="1" applyAlignment="1">
      <alignment horizontal="center"/>
    </xf>
    <xf numFmtId="164" fontId="0" fillId="0" borderId="0" xfId="0" applyNumberFormat="1" applyFill="1" applyAlignment="1">
      <alignment horizontal="center"/>
    </xf>
    <xf numFmtId="178" fontId="1" fillId="0" borderId="0" xfId="0" applyNumberFormat="1" applyFont="1" applyFill="1" applyAlignment="1">
      <alignment horizontal="center"/>
    </xf>
    <xf numFmtId="174" fontId="0" fillId="0" borderId="0" xfId="0" applyNumberFormat="1" applyFill="1"/>
    <xf numFmtId="178" fontId="0" fillId="0" borderId="0" xfId="0" applyNumberFormat="1" applyFill="1" applyAlignment="1">
      <alignment horizontal="center"/>
    </xf>
    <xf numFmtId="2" fontId="0" fillId="0" borderId="0" xfId="0" applyNumberFormat="1"/>
  </cellXfs>
  <cellStyles count="2">
    <cellStyle name="Normal" xfId="0" builtinId="0"/>
    <cellStyle name="Percent" xfId="1" builtinId="5"/>
  </cellStyles>
  <dxfs count="2">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DD34A-3738-4B46-9C6F-799B8DF43C95}">
  <dimension ref="B1:U291"/>
  <sheetViews>
    <sheetView topLeftCell="A9" zoomScale="85" zoomScaleNormal="85" workbookViewId="0">
      <selection activeCell="A28" sqref="A28"/>
    </sheetView>
  </sheetViews>
  <sheetFormatPr defaultRowHeight="14.4" x14ac:dyDescent="0.3"/>
  <cols>
    <col min="1" max="2" width="1.77734375" customWidth="1"/>
    <col min="3" max="3" width="56.5546875" customWidth="1"/>
    <col min="4" max="11" width="12.44140625" style="5" customWidth="1"/>
    <col min="12" max="12" width="2.33203125" style="5" customWidth="1"/>
    <col min="13" max="13" width="8.21875" style="5" customWidth="1"/>
    <col min="14" max="14" width="1.77734375" customWidth="1"/>
    <col min="15" max="17" width="12.44140625" customWidth="1"/>
  </cols>
  <sheetData>
    <row r="1" spans="2:21" ht="15" thickBot="1" x14ac:dyDescent="0.35">
      <c r="D1"/>
      <c r="E1"/>
      <c r="F1"/>
      <c r="G1"/>
      <c r="H1"/>
      <c r="I1"/>
      <c r="J1"/>
      <c r="K1"/>
      <c r="L1"/>
      <c r="M1"/>
    </row>
    <row r="2" spans="2:21" ht="15" thickBot="1" x14ac:dyDescent="0.35">
      <c r="C2" s="43" t="str">
        <f>"Financial Statement Model for "&amp;D5</f>
        <v>Financial Statement Model for Apple</v>
      </c>
      <c r="D2" s="42"/>
      <c r="E2" s="42"/>
      <c r="F2" s="42"/>
      <c r="G2" s="42"/>
      <c r="H2" s="42"/>
      <c r="I2" s="42"/>
      <c r="J2" s="42"/>
      <c r="K2" s="42"/>
      <c r="L2" s="46"/>
      <c r="M2" s="46"/>
    </row>
    <row r="3" spans="2:21" x14ac:dyDescent="0.3">
      <c r="C3" s="41" t="s">
        <v>81</v>
      </c>
      <c r="D3" s="40"/>
      <c r="E3" s="40"/>
      <c r="F3" s="40"/>
      <c r="G3" s="40"/>
      <c r="H3" s="40"/>
      <c r="I3"/>
      <c r="J3"/>
      <c r="K3"/>
      <c r="L3"/>
      <c r="M3"/>
    </row>
    <row r="4" spans="2:21" x14ac:dyDescent="0.3">
      <c r="D4" t="s">
        <v>93</v>
      </c>
      <c r="E4"/>
      <c r="F4"/>
      <c r="G4"/>
      <c r="H4"/>
      <c r="I4"/>
      <c r="J4"/>
      <c r="K4"/>
      <c r="L4"/>
      <c r="M4"/>
    </row>
    <row r="5" spans="2:21" x14ac:dyDescent="0.3">
      <c r="C5" s="36" t="s">
        <v>80</v>
      </c>
      <c r="D5" s="39" t="s">
        <v>79</v>
      </c>
      <c r="E5"/>
      <c r="F5"/>
      <c r="G5"/>
      <c r="H5"/>
      <c r="I5"/>
      <c r="J5"/>
      <c r="K5"/>
      <c r="L5"/>
      <c r="M5"/>
    </row>
    <row r="6" spans="2:21" x14ac:dyDescent="0.3">
      <c r="C6" s="36" t="s">
        <v>78</v>
      </c>
      <c r="D6" s="39" t="s">
        <v>77</v>
      </c>
      <c r="E6"/>
      <c r="F6"/>
      <c r="G6"/>
      <c r="H6"/>
      <c r="I6"/>
      <c r="J6"/>
      <c r="K6"/>
      <c r="L6"/>
      <c r="M6"/>
    </row>
    <row r="7" spans="2:21" x14ac:dyDescent="0.3">
      <c r="C7" t="s">
        <v>76</v>
      </c>
      <c r="D7" s="88">
        <v>1</v>
      </c>
      <c r="E7"/>
      <c r="F7"/>
      <c r="G7"/>
      <c r="H7"/>
      <c r="I7"/>
      <c r="J7"/>
      <c r="K7"/>
      <c r="L7"/>
      <c r="M7"/>
    </row>
    <row r="8" spans="2:21" x14ac:dyDescent="0.3">
      <c r="C8" t="s">
        <v>75</v>
      </c>
      <c r="D8" s="38"/>
      <c r="E8"/>
      <c r="F8"/>
      <c r="G8"/>
      <c r="H8"/>
      <c r="I8"/>
      <c r="J8"/>
      <c r="K8"/>
      <c r="L8"/>
      <c r="M8"/>
    </row>
    <row r="9" spans="2:21" x14ac:dyDescent="0.3">
      <c r="C9" t="s">
        <v>74</v>
      </c>
      <c r="D9" s="37"/>
      <c r="E9"/>
      <c r="F9"/>
      <c r="G9"/>
      <c r="H9"/>
      <c r="I9"/>
      <c r="J9"/>
      <c r="K9"/>
      <c r="L9"/>
      <c r="M9"/>
    </row>
    <row r="10" spans="2:21" x14ac:dyDescent="0.3">
      <c r="C10" s="36" t="s">
        <v>73</v>
      </c>
      <c r="D10" s="35">
        <v>43372</v>
      </c>
      <c r="E10"/>
      <c r="F10"/>
      <c r="G10"/>
      <c r="H10"/>
      <c r="I10"/>
      <c r="J10"/>
      <c r="K10"/>
      <c r="L10"/>
      <c r="M10"/>
    </row>
    <row r="11" spans="2:21" x14ac:dyDescent="0.3">
      <c r="C11" t="s">
        <v>72</v>
      </c>
      <c r="D11" s="44">
        <v>4745398</v>
      </c>
      <c r="E11"/>
      <c r="F11"/>
      <c r="G11"/>
      <c r="H11"/>
      <c r="I11"/>
      <c r="J11"/>
      <c r="K11"/>
      <c r="L11"/>
      <c r="M11"/>
    </row>
    <row r="12" spans="2:21" x14ac:dyDescent="0.3">
      <c r="C12" t="s">
        <v>158</v>
      </c>
      <c r="D12" s="121" t="s">
        <v>168</v>
      </c>
      <c r="E12"/>
      <c r="F12"/>
      <c r="G12"/>
      <c r="H12"/>
      <c r="I12"/>
      <c r="J12"/>
      <c r="K12"/>
      <c r="L12"/>
      <c r="M12"/>
    </row>
    <row r="13" spans="2:21" x14ac:dyDescent="0.3">
      <c r="D13"/>
      <c r="E13"/>
      <c r="F13"/>
      <c r="G13"/>
      <c r="H13"/>
      <c r="I13"/>
      <c r="J13"/>
      <c r="K13"/>
      <c r="L13"/>
      <c r="M13"/>
    </row>
    <row r="14" spans="2:21" x14ac:dyDescent="0.3">
      <c r="B14" t="s">
        <v>82</v>
      </c>
      <c r="C14" s="15" t="s">
        <v>71</v>
      </c>
      <c r="D14" s="10"/>
      <c r="E14" s="10"/>
      <c r="F14" s="10"/>
      <c r="G14" s="213" t="s">
        <v>70</v>
      </c>
      <c r="H14" s="213"/>
      <c r="I14" s="213"/>
      <c r="J14" s="213"/>
      <c r="K14" s="213"/>
      <c r="L14" s="157"/>
      <c r="M14" s="157"/>
    </row>
    <row r="15" spans="2:21" x14ac:dyDescent="0.3">
      <c r="C15" t="s">
        <v>69</v>
      </c>
      <c r="D15" s="34">
        <f>E15-1</f>
        <v>2016</v>
      </c>
      <c r="E15" s="34">
        <f>F15-1</f>
        <v>2017</v>
      </c>
      <c r="F15" s="34">
        <f>YEAR($D$10)</f>
        <v>2018</v>
      </c>
      <c r="G15" s="33">
        <f>F15+1</f>
        <v>2019</v>
      </c>
      <c r="H15" s="33">
        <f>G15+1</f>
        <v>2020</v>
      </c>
      <c r="I15" s="33">
        <f>H15+1</f>
        <v>2021</v>
      </c>
      <c r="J15" s="33">
        <f>I15+1</f>
        <v>2022</v>
      </c>
      <c r="K15" s="33">
        <f>J15+1</f>
        <v>2023</v>
      </c>
      <c r="L15" s="33"/>
      <c r="M15" s="163" t="s">
        <v>221</v>
      </c>
    </row>
    <row r="16" spans="2:21" x14ac:dyDescent="0.3">
      <c r="C16" s="32" t="s">
        <v>68</v>
      </c>
      <c r="D16" s="31">
        <f>EOMONTH(E16,-12)</f>
        <v>43008</v>
      </c>
      <c r="E16" s="31">
        <v>43372</v>
      </c>
      <c r="F16" s="31">
        <f>$D$10</f>
        <v>43372</v>
      </c>
      <c r="G16" s="31">
        <f>EOMONTH(F16,12)</f>
        <v>43738</v>
      </c>
      <c r="H16" s="31">
        <f>EOMONTH(G16,12)</f>
        <v>44104</v>
      </c>
      <c r="I16" s="31">
        <f>EOMONTH(H16,12)</f>
        <v>44469</v>
      </c>
      <c r="J16" s="31">
        <f>EOMONTH(I16,12)</f>
        <v>44834</v>
      </c>
      <c r="K16" s="31">
        <f>EOMONTH(J16,12)</f>
        <v>45199</v>
      </c>
      <c r="L16" s="155"/>
      <c r="M16" s="164" t="s">
        <v>222</v>
      </c>
      <c r="O16" s="30" t="s">
        <v>67</v>
      </c>
      <c r="P16" s="29"/>
      <c r="Q16" s="29"/>
      <c r="R16" s="29"/>
      <c r="S16" s="29"/>
      <c r="T16" s="46"/>
      <c r="U16" s="46"/>
    </row>
    <row r="17" spans="2:16" x14ac:dyDescent="0.3">
      <c r="C17" s="1"/>
      <c r="D17" s="28"/>
      <c r="E17" s="26"/>
      <c r="F17" s="26"/>
      <c r="G17"/>
      <c r="H17" s="27"/>
      <c r="I17" s="27"/>
      <c r="J17" s="26"/>
      <c r="K17" s="26"/>
      <c r="L17" s="26"/>
      <c r="M17" s="26"/>
    </row>
    <row r="18" spans="2:16" x14ac:dyDescent="0.3">
      <c r="C18" t="s">
        <v>66</v>
      </c>
      <c r="D18" s="6">
        <v>215639</v>
      </c>
      <c r="E18" s="6">
        <v>229234</v>
      </c>
      <c r="F18" s="6">
        <v>265595</v>
      </c>
      <c r="G18" s="25">
        <f ca="1">F18*(1+G37)</f>
        <v>252990.4817</v>
      </c>
      <c r="H18" s="25">
        <f t="shared" ref="H18:K18" ca="1" si="0">G18*(1+H37)</f>
        <v>265376.78419999999</v>
      </c>
      <c r="I18" s="25">
        <f t="shared" ca="1" si="0"/>
        <v>278407.76003590086</v>
      </c>
      <c r="J18" s="25">
        <f t="shared" ca="1" si="0"/>
        <v>293588.357044834</v>
      </c>
      <c r="K18" s="25">
        <f t="shared" ca="1" si="0"/>
        <v>311276.6925034704</v>
      </c>
      <c r="L18" s="25"/>
      <c r="M18" s="165">
        <f ca="1">(K18/F18)^(1/COUNT(G18:K18))-1</f>
        <v>3.2251069846116476E-2</v>
      </c>
      <c r="O18" t="s">
        <v>65</v>
      </c>
    </row>
    <row r="19" spans="2:16" x14ac:dyDescent="0.3">
      <c r="C19" t="s">
        <v>64</v>
      </c>
      <c r="D19" s="45">
        <v>-131376</v>
      </c>
      <c r="E19" s="45">
        <v>-141048</v>
      </c>
      <c r="F19" s="45">
        <v>-163756</v>
      </c>
      <c r="G19" s="23">
        <f ca="1">G20-G18</f>
        <v>-157360.07961740001</v>
      </c>
      <c r="H19" s="23">
        <f t="shared" ref="H19:K19" ca="1" si="1">H20-H18</f>
        <v>-164533.60620400001</v>
      </c>
      <c r="I19" s="23">
        <f t="shared" ca="1" si="1"/>
        <v>-172055.99570218672</v>
      </c>
      <c r="J19" s="23">
        <f t="shared" ca="1" si="1"/>
        <v>-181437.60465370741</v>
      </c>
      <c r="K19" s="23">
        <f t="shared" ca="1" si="1"/>
        <v>-192368.99596714473</v>
      </c>
      <c r="L19" s="23"/>
      <c r="M19" s="23"/>
      <c r="O19" t="s">
        <v>63</v>
      </c>
    </row>
    <row r="20" spans="2:16" x14ac:dyDescent="0.3">
      <c r="C20" s="22" t="s">
        <v>62</v>
      </c>
      <c r="D20" s="8">
        <f>SUM(D18:D19)</f>
        <v>84263</v>
      </c>
      <c r="E20" s="8">
        <f>SUM(E18:E19)</f>
        <v>88186</v>
      </c>
      <c r="F20" s="8">
        <f>SUM(F18:F19)</f>
        <v>101839</v>
      </c>
      <c r="G20" s="8">
        <f ca="1">G18*G38</f>
        <v>95630.402082600005</v>
      </c>
      <c r="H20" s="8">
        <f t="shared" ref="H20:K20" ca="1" si="2">H18*H38</f>
        <v>100843.177996</v>
      </c>
      <c r="I20" s="8">
        <f t="shared" ca="1" si="2"/>
        <v>106351.76433371413</v>
      </c>
      <c r="J20" s="8">
        <f t="shared" ca="1" si="2"/>
        <v>112150.75239112659</v>
      </c>
      <c r="K20" s="8">
        <f t="shared" ca="1" si="2"/>
        <v>118907.69653632569</v>
      </c>
      <c r="L20" s="8"/>
      <c r="M20" s="8"/>
      <c r="O20" s="24" t="s">
        <v>61</v>
      </c>
    </row>
    <row r="21" spans="2:16" x14ac:dyDescent="0.3">
      <c r="C21" t="s">
        <v>60</v>
      </c>
      <c r="D21" s="45">
        <v>-10045</v>
      </c>
      <c r="E21" s="45">
        <v>-11581</v>
      </c>
      <c r="F21" s="45">
        <v>-14236</v>
      </c>
      <c r="G21" s="23">
        <f ca="1">-G18*G39</f>
        <v>-15685.409865400001</v>
      </c>
      <c r="H21" s="23">
        <f t="shared" ref="H21:K21" ca="1" si="3">-H18*H39</f>
        <v>-16718.7374046</v>
      </c>
      <c r="I21" s="23">
        <f t="shared" ca="1" si="3"/>
        <v>-17539.688882261755</v>
      </c>
      <c r="J21" s="23">
        <f t="shared" ca="1" si="3"/>
        <v>-18496.066493824543</v>
      </c>
      <c r="K21" s="23">
        <f t="shared" ca="1" si="3"/>
        <v>-19610.431627718637</v>
      </c>
      <c r="L21" s="23"/>
      <c r="M21" s="23"/>
      <c r="O21" s="24" t="s">
        <v>59</v>
      </c>
    </row>
    <row r="22" spans="2:16" x14ac:dyDescent="0.3">
      <c r="C22" t="s">
        <v>58</v>
      </c>
      <c r="D22" s="45">
        <v>-14194</v>
      </c>
      <c r="E22" s="45">
        <v>-15261</v>
      </c>
      <c r="F22" s="45">
        <v>-16705</v>
      </c>
      <c r="G22" s="23">
        <f ca="1">-G18*G40</f>
        <v>-18721.295645800001</v>
      </c>
      <c r="H22" s="23">
        <f t="shared" ref="H22:K22" ca="1" si="4">-H18*H40</f>
        <v>-18310.998109800003</v>
      </c>
      <c r="I22" s="23">
        <f t="shared" ca="1" si="4"/>
        <v>-19210.13544247716</v>
      </c>
      <c r="J22" s="23">
        <f t="shared" ca="1" si="4"/>
        <v>-20257.596636093549</v>
      </c>
      <c r="K22" s="23">
        <f t="shared" ca="1" si="4"/>
        <v>-21478.091782739459</v>
      </c>
      <c r="L22" s="23"/>
      <c r="M22" s="23"/>
      <c r="O22" s="24" t="s">
        <v>57</v>
      </c>
    </row>
    <row r="23" spans="2:16" x14ac:dyDescent="0.3">
      <c r="C23" s="63" t="s">
        <v>56</v>
      </c>
      <c r="D23" s="8">
        <f>SUM(D20:D22)</f>
        <v>60024</v>
      </c>
      <c r="E23" s="8">
        <f>SUM(E20:E22)</f>
        <v>61344</v>
      </c>
      <c r="F23" s="8">
        <f>SUM(F20:F22)</f>
        <v>70898</v>
      </c>
      <c r="G23" s="8">
        <f t="shared" ref="G23" ca="1" si="5">SUM(G20:G22)</f>
        <v>61223.696571400011</v>
      </c>
      <c r="H23" s="8">
        <f t="shared" ref="H23" ca="1" si="6">SUM(H20:H22)</f>
        <v>65813.442481599996</v>
      </c>
      <c r="I23" s="8">
        <f t="shared" ref="I23" ca="1" si="7">SUM(I20:I22)</f>
        <v>69601.940008975216</v>
      </c>
      <c r="J23" s="8">
        <f t="shared" ref="J23" ca="1" si="8">SUM(J20:J22)</f>
        <v>73397.089261208486</v>
      </c>
      <c r="K23" s="8">
        <f t="shared" ref="K23" ca="1" si="9">SUM(K20:K22)</f>
        <v>77819.173125867601</v>
      </c>
      <c r="L23" s="8"/>
      <c r="M23" s="165">
        <f ca="1">(K23/F23)^(1/COUNT(G23:K23))-1</f>
        <v>1.8803728207189341E-2</v>
      </c>
      <c r="O23" s="22" t="s">
        <v>55</v>
      </c>
    </row>
    <row r="24" spans="2:16" x14ac:dyDescent="0.3">
      <c r="C24" s="86" t="s">
        <v>54</v>
      </c>
      <c r="D24" s="87">
        <v>3999</v>
      </c>
      <c r="E24" s="87">
        <v>5201</v>
      </c>
      <c r="F24" s="87">
        <v>5686</v>
      </c>
      <c r="G24" s="62">
        <f ca="1">G221</f>
        <v>4701.9145473391609</v>
      </c>
      <c r="H24" s="62">
        <f t="shared" ref="H24:K24" ca="1" si="10">H221</f>
        <v>3950.7434208630079</v>
      </c>
      <c r="I24" s="62">
        <f t="shared" ca="1" si="10"/>
        <v>3347.1993774259859</v>
      </c>
      <c r="J24" s="62">
        <f t="shared" ca="1" si="10"/>
        <v>2820.7479521577156</v>
      </c>
      <c r="K24" s="62">
        <f t="shared" ca="1" si="10"/>
        <v>2385.0141054553424</v>
      </c>
      <c r="L24" s="62"/>
      <c r="M24" s="62"/>
      <c r="O24" t="s">
        <v>53</v>
      </c>
    </row>
    <row r="25" spans="2:16" x14ac:dyDescent="0.3">
      <c r="C25" s="86" t="s">
        <v>52</v>
      </c>
      <c r="D25" s="87">
        <v>-1456</v>
      </c>
      <c r="E25" s="87">
        <v>-2323</v>
      </c>
      <c r="F25" s="87">
        <v>-3240</v>
      </c>
      <c r="G25" s="62">
        <f ca="1">-G217-G212</f>
        <v>-3223.1468651501777</v>
      </c>
      <c r="H25" s="62">
        <f t="shared" ref="H25:K25" ca="1" si="11">-H217-H212</f>
        <v>-3223.5392651501775</v>
      </c>
      <c r="I25" s="62">
        <f t="shared" ca="1" si="11"/>
        <v>-3223.5392651501775</v>
      </c>
      <c r="J25" s="62">
        <f t="shared" ca="1" si="11"/>
        <v>-3223.5392651501775</v>
      </c>
      <c r="K25" s="62">
        <f t="shared" ca="1" si="11"/>
        <v>-3223.5392651501775</v>
      </c>
      <c r="L25" s="62"/>
      <c r="M25" s="62"/>
      <c r="O25" t="s">
        <v>51</v>
      </c>
    </row>
    <row r="26" spans="2:16" x14ac:dyDescent="0.3">
      <c r="C26" t="s">
        <v>50</v>
      </c>
      <c r="D26" s="45">
        <v>-1195</v>
      </c>
      <c r="E26" s="45">
        <v>-133</v>
      </c>
      <c r="F26" s="45">
        <v>-441</v>
      </c>
      <c r="G26" s="5">
        <f>F26</f>
        <v>-441</v>
      </c>
      <c r="H26" s="5">
        <f t="shared" ref="H26:K26" si="12">G26</f>
        <v>-441</v>
      </c>
      <c r="I26" s="5">
        <f t="shared" si="12"/>
        <v>-441</v>
      </c>
      <c r="J26" s="5">
        <f t="shared" si="12"/>
        <v>-441</v>
      </c>
      <c r="K26" s="5">
        <f t="shared" si="12"/>
        <v>-441</v>
      </c>
      <c r="O26" t="s">
        <v>49</v>
      </c>
    </row>
    <row r="27" spans="2:16" x14ac:dyDescent="0.3">
      <c r="C27" s="22" t="s">
        <v>48</v>
      </c>
      <c r="D27" s="8">
        <f>SUM(D23:D26)</f>
        <v>61372</v>
      </c>
      <c r="E27" s="8">
        <f>SUM(E23:E26)</f>
        <v>64089</v>
      </c>
      <c r="F27" s="8">
        <f>SUM(F23:F26)</f>
        <v>72903</v>
      </c>
      <c r="G27" s="8">
        <f t="shared" ref="G27" ca="1" si="13">SUM(G23:G26)</f>
        <v>62261.464253588987</v>
      </c>
      <c r="H27" s="8">
        <f t="shared" ref="H27" ca="1" si="14">SUM(H23:H26)</f>
        <v>66099.646637312835</v>
      </c>
      <c r="I27" s="8">
        <f t="shared" ref="I27" ca="1" si="15">SUM(I23:I26)</f>
        <v>69284.600121251031</v>
      </c>
      <c r="J27" s="8">
        <f t="shared" ref="J27" ca="1" si="16">SUM(J23:J26)</f>
        <v>72553.29794821603</v>
      </c>
      <c r="K27" s="8">
        <f t="shared" ref="K27" ca="1" si="17">SUM(K23:K26)</f>
        <v>76539.647966172764</v>
      </c>
      <c r="L27" s="8"/>
      <c r="M27" s="8"/>
      <c r="O27" s="22" t="s">
        <v>47</v>
      </c>
      <c r="P27" s="22"/>
    </row>
    <row r="28" spans="2:16" x14ac:dyDescent="0.3">
      <c r="C28" t="s">
        <v>46</v>
      </c>
      <c r="D28" s="45">
        <v>-15685</v>
      </c>
      <c r="E28" s="45">
        <v>-15738</v>
      </c>
      <c r="F28" s="45">
        <v>-13372</v>
      </c>
      <c r="G28" s="23">
        <f ca="1">-G27*G41</f>
        <v>-10397.664530349361</v>
      </c>
      <c r="H28" s="23">
        <f t="shared" ref="H28:K28" ca="1" si="18">-H27*H41</f>
        <v>-11236.939928343183</v>
      </c>
      <c r="I28" s="23">
        <f t="shared" ca="1" si="18"/>
        <v>-11709.097420491426</v>
      </c>
      <c r="J28" s="23">
        <f t="shared" ca="1" si="18"/>
        <v>-12261.507353248509</v>
      </c>
      <c r="K28" s="23">
        <f t="shared" ca="1" si="18"/>
        <v>-12935.200506283198</v>
      </c>
      <c r="L28" s="23"/>
      <c r="M28" s="23"/>
      <c r="O28" t="s">
        <v>45</v>
      </c>
    </row>
    <row r="29" spans="2:16" x14ac:dyDescent="0.3">
      <c r="C29" s="22" t="s">
        <v>44</v>
      </c>
      <c r="D29" s="8">
        <f>SUM(D27:D28)</f>
        <v>45687</v>
      </c>
      <c r="E29" s="8">
        <f>SUM(E27:E28)</f>
        <v>48351</v>
      </c>
      <c r="F29" s="8">
        <f>SUM(F27:F28)</f>
        <v>59531</v>
      </c>
      <c r="G29" s="8">
        <f t="shared" ref="G29" ca="1" si="19">SUM(G27:G28)</f>
        <v>51863.79972323963</v>
      </c>
      <c r="H29" s="8">
        <f t="shared" ref="H29" ca="1" si="20">SUM(H27:H28)</f>
        <v>54862.70670896965</v>
      </c>
      <c r="I29" s="8">
        <f t="shared" ref="I29" ca="1" si="21">SUM(I27:I28)</f>
        <v>57575.502700759607</v>
      </c>
      <c r="J29" s="8">
        <f t="shared" ref="J29" ca="1" si="22">SUM(J27:J28)</f>
        <v>60291.790594967519</v>
      </c>
      <c r="K29" s="8">
        <f t="shared" ref="K29" ca="1" si="23">SUM(K27:K28)</f>
        <v>63604.447459889569</v>
      </c>
      <c r="L29" s="8"/>
      <c r="M29" s="165">
        <f ca="1">(K29/F29)^(1/COUNT(G29:K29))-1</f>
        <v>1.3325242403305015E-2</v>
      </c>
      <c r="O29" s="22" t="s">
        <v>43</v>
      </c>
    </row>
    <row r="30" spans="2:16" x14ac:dyDescent="0.3">
      <c r="C30" s="17"/>
      <c r="D30" s="2"/>
      <c r="E30" s="2"/>
      <c r="F30" s="2"/>
    </row>
    <row r="31" spans="2:16" x14ac:dyDescent="0.3">
      <c r="B31" t="s">
        <v>82</v>
      </c>
      <c r="C31" s="51" t="s">
        <v>42</v>
      </c>
      <c r="D31" s="45">
        <v>10505</v>
      </c>
      <c r="E31" s="45">
        <v>10157</v>
      </c>
      <c r="F31" s="45">
        <v>10903</v>
      </c>
      <c r="G31" s="5">
        <f ca="1">G171</f>
        <v>9459.5503644274177</v>
      </c>
      <c r="H31" s="5">
        <f t="shared" ref="H31:K31" ca="1" si="24">H171</f>
        <v>9672.4329574073308</v>
      </c>
      <c r="I31" s="5">
        <f t="shared" ca="1" si="24"/>
        <v>10302.456479649651</v>
      </c>
      <c r="J31" s="5">
        <f t="shared" ca="1" si="24"/>
        <v>11333.641741495876</v>
      </c>
      <c r="K31" s="5">
        <f t="shared" ca="1" si="24"/>
        <v>12710.209371269428</v>
      </c>
      <c r="O31" t="s">
        <v>41</v>
      </c>
    </row>
    <row r="32" spans="2:16" x14ac:dyDescent="0.3">
      <c r="C32" s="4" t="s">
        <v>40</v>
      </c>
      <c r="D32" s="8">
        <f>D23+D31</f>
        <v>70529</v>
      </c>
      <c r="E32" s="8">
        <f>E23+E31</f>
        <v>71501</v>
      </c>
      <c r="F32" s="8">
        <f>F23+F31</f>
        <v>81801</v>
      </c>
      <c r="G32" s="8">
        <f t="shared" ref="G32" ca="1" si="25">G23+G31</f>
        <v>70683.246935827425</v>
      </c>
      <c r="H32" s="8">
        <f t="shared" ref="H32" ca="1" si="26">H23+H31</f>
        <v>75485.87543900733</v>
      </c>
      <c r="I32" s="8">
        <f t="shared" ref="I32" ca="1" si="27">I23+I31</f>
        <v>79904.396488624872</v>
      </c>
      <c r="J32" s="8">
        <f t="shared" ref="J32" ca="1" si="28">J23+J31</f>
        <v>84730.731002704357</v>
      </c>
      <c r="K32" s="8">
        <f t="shared" ref="K32" ca="1" si="29">K23+K31</f>
        <v>90529.382497137034</v>
      </c>
      <c r="L32" s="8"/>
      <c r="M32" s="165">
        <f ca="1">(K32/F32)^(1/COUNT(G32:K32))-1</f>
        <v>2.0483974536199767E-2</v>
      </c>
      <c r="O32" s="22" t="s">
        <v>39</v>
      </c>
    </row>
    <row r="33" spans="2:21" x14ac:dyDescent="0.3">
      <c r="C33" s="7" t="s">
        <v>38</v>
      </c>
      <c r="D33" s="45">
        <v>4210</v>
      </c>
      <c r="E33" s="45">
        <v>4840</v>
      </c>
      <c r="F33" s="45">
        <v>5340</v>
      </c>
      <c r="G33" s="5">
        <f ca="1">F33*(1+G37)</f>
        <v>5086.5760736384345</v>
      </c>
      <c r="H33" s="5">
        <f t="shared" ref="H33:K33" ca="1" si="30">G33*(1+H37)</f>
        <v>5335.6125967281014</v>
      </c>
      <c r="I33" s="5">
        <f t="shared" ca="1" si="30"/>
        <v>5597.6107930936605</v>
      </c>
      <c r="J33" s="5">
        <f t="shared" ca="1" si="30"/>
        <v>5902.8288432365589</v>
      </c>
      <c r="K33" s="5">
        <f t="shared" ca="1" si="30"/>
        <v>6258.4669815641573</v>
      </c>
      <c r="O33" t="s">
        <v>37</v>
      </c>
    </row>
    <row r="34" spans="2:21" x14ac:dyDescent="0.3">
      <c r="C34" s="4" t="s">
        <v>36</v>
      </c>
      <c r="D34" s="8">
        <f>SUM(D32:D33)</f>
        <v>74739</v>
      </c>
      <c r="E34" s="8">
        <f>SUM(E32:E33)</f>
        <v>76341</v>
      </c>
      <c r="F34" s="8">
        <f>SUM(F32:F33)</f>
        <v>87141</v>
      </c>
      <c r="G34" s="8">
        <f t="shared" ref="G34" ca="1" si="31">SUM(G32:G33)</f>
        <v>75769.823009465865</v>
      </c>
      <c r="H34" s="8">
        <f t="shared" ref="H34" ca="1" si="32">SUM(H32:H33)</f>
        <v>80821.488035735427</v>
      </c>
      <c r="I34" s="8">
        <f t="shared" ref="I34" ca="1" si="33">SUM(I32:I33)</f>
        <v>85502.007281718528</v>
      </c>
      <c r="J34" s="8">
        <f t="shared" ref="J34" ca="1" si="34">SUM(J32:J33)</f>
        <v>90633.559845940908</v>
      </c>
      <c r="K34" s="8">
        <f t="shared" ref="K34" ca="1" si="35">SUM(K32:K33)</f>
        <v>96787.849478701188</v>
      </c>
      <c r="L34" s="8"/>
      <c r="M34" s="8"/>
      <c r="O34" s="22" t="s">
        <v>35</v>
      </c>
    </row>
    <row r="35" spans="2:21" x14ac:dyDescent="0.3">
      <c r="C35" s="17"/>
      <c r="D35"/>
      <c r="E35"/>
      <c r="F35"/>
      <c r="G35" s="16"/>
      <c r="H35"/>
      <c r="I35"/>
      <c r="J35"/>
      <c r="K35"/>
      <c r="L35"/>
      <c r="M35"/>
    </row>
    <row r="36" spans="2:21" x14ac:dyDescent="0.3">
      <c r="C36" s="21" t="s">
        <v>34</v>
      </c>
      <c r="D36"/>
      <c r="E36"/>
      <c r="F36"/>
      <c r="G36"/>
      <c r="H36"/>
      <c r="I36"/>
      <c r="J36"/>
      <c r="K36"/>
      <c r="L36"/>
      <c r="M36"/>
    </row>
    <row r="37" spans="2:21" x14ac:dyDescent="0.3">
      <c r="C37" s="17" t="s">
        <v>33</v>
      </c>
      <c r="D37" s="20"/>
      <c r="E37" s="20">
        <f>E18/D18-1</f>
        <v>6.304518199398057E-2</v>
      </c>
      <c r="F37" s="20">
        <f>F18/E18-1</f>
        <v>0.15861957650261305</v>
      </c>
      <c r="G37" s="169">
        <f ca="1">'Revenues build-up'!G14</f>
        <v>-4.7457664112652731E-2</v>
      </c>
      <c r="H37" s="168">
        <f ca="1">'Revenues build-up'!H14</f>
        <v>4.8959559335073566E-2</v>
      </c>
      <c r="I37" s="168">
        <f ca="1">'Revenues build-up'!I14</f>
        <v>4.9103676778599281E-2</v>
      </c>
      <c r="J37" s="168">
        <f ca="1">'Revenues build-up'!J14</f>
        <v>5.452648664310078E-2</v>
      </c>
      <c r="K37" s="168">
        <f ca="1">'Revenues build-up'!K14</f>
        <v>6.0248763393349503E-2</v>
      </c>
      <c r="L37" s="166"/>
      <c r="M37" s="166"/>
      <c r="O37" t="s">
        <v>196</v>
      </c>
      <c r="Q37" s="18"/>
      <c r="S37" s="18"/>
      <c r="T37" s="18"/>
      <c r="U37" s="18"/>
    </row>
    <row r="38" spans="2:21" x14ac:dyDescent="0.3">
      <c r="C38" s="17" t="s">
        <v>32</v>
      </c>
      <c r="D38" s="20">
        <f>D20/D18</f>
        <v>0.39075955648097049</v>
      </c>
      <c r="E38" s="20">
        <f>E20/E18</f>
        <v>0.38469860491899105</v>
      </c>
      <c r="F38" s="20">
        <f>F20/F18</f>
        <v>0.38343718820007905</v>
      </c>
      <c r="G38" s="53">
        <f t="shared" ref="G38:K38" ca="1" si="36">G241</f>
        <v>0.378</v>
      </c>
      <c r="H38" s="53">
        <f t="shared" ca="1" si="36"/>
        <v>0.38</v>
      </c>
      <c r="I38" s="53">
        <f t="shared" ca="1" si="36"/>
        <v>0.38200000000000001</v>
      </c>
      <c r="J38" s="53">
        <f t="shared" ca="1" si="36"/>
        <v>0.38200000000000001</v>
      </c>
      <c r="K38" s="53">
        <f t="shared" ca="1" si="36"/>
        <v>0.38200000000000001</v>
      </c>
      <c r="L38" s="166"/>
      <c r="M38" s="166"/>
      <c r="O38" t="s">
        <v>196</v>
      </c>
      <c r="Q38" s="18"/>
      <c r="S38" s="18"/>
      <c r="T38" s="18"/>
      <c r="U38" s="18"/>
    </row>
    <row r="39" spans="2:21" x14ac:dyDescent="0.3">
      <c r="C39" s="17" t="s">
        <v>31</v>
      </c>
      <c r="D39" s="20">
        <f>-D21/D18</f>
        <v>4.6582482760539605E-2</v>
      </c>
      <c r="E39" s="20">
        <f>-E21/E18</f>
        <v>5.0520428906706681E-2</v>
      </c>
      <c r="F39" s="20">
        <f>-F21/F18</f>
        <v>5.3600406634161032E-2</v>
      </c>
      <c r="G39" s="53">
        <f t="shared" ref="G39:K39" ca="1" si="37">G242</f>
        <v>6.2E-2</v>
      </c>
      <c r="H39" s="53">
        <f t="shared" ca="1" si="37"/>
        <v>6.3E-2</v>
      </c>
      <c r="I39" s="53">
        <f t="shared" ca="1" si="37"/>
        <v>6.3E-2</v>
      </c>
      <c r="J39" s="53">
        <f t="shared" ca="1" si="37"/>
        <v>6.3E-2</v>
      </c>
      <c r="K39" s="53">
        <f t="shared" ca="1" si="37"/>
        <v>6.3E-2</v>
      </c>
      <c r="L39" s="166"/>
      <c r="M39" s="166"/>
      <c r="O39" t="s">
        <v>196</v>
      </c>
      <c r="Q39" s="18"/>
      <c r="S39" s="18"/>
      <c r="T39" s="18"/>
      <c r="U39" s="18"/>
    </row>
    <row r="40" spans="2:21" x14ac:dyDescent="0.3">
      <c r="C40" s="17" t="s">
        <v>30</v>
      </c>
      <c r="D40" s="20">
        <f>-D22/D18</f>
        <v>6.5822972653369755E-2</v>
      </c>
      <c r="E40" s="20">
        <f>-E22/E18</f>
        <v>6.6573893924984945E-2</v>
      </c>
      <c r="F40" s="20">
        <f>-F22/F18</f>
        <v>6.2896515371147807E-2</v>
      </c>
      <c r="G40" s="53">
        <f t="shared" ref="G40:K40" ca="1" si="38">G243</f>
        <v>7.3999999999999996E-2</v>
      </c>
      <c r="H40" s="53">
        <f t="shared" ca="1" si="38"/>
        <v>6.9000000000000006E-2</v>
      </c>
      <c r="I40" s="53">
        <f t="shared" ca="1" si="38"/>
        <v>6.9000000000000006E-2</v>
      </c>
      <c r="J40" s="53">
        <f t="shared" ca="1" si="38"/>
        <v>6.9000000000000006E-2</v>
      </c>
      <c r="K40" s="53">
        <f t="shared" ca="1" si="38"/>
        <v>6.9000000000000006E-2</v>
      </c>
      <c r="L40" s="166"/>
      <c r="M40" s="166"/>
      <c r="O40" t="s">
        <v>196</v>
      </c>
      <c r="Q40" s="18"/>
      <c r="S40" s="18"/>
      <c r="T40" s="18"/>
      <c r="U40" s="18"/>
    </row>
    <row r="41" spans="2:21" x14ac:dyDescent="0.3">
      <c r="C41" s="17" t="s">
        <v>29</v>
      </c>
      <c r="D41" s="20">
        <f>-D28/D27</f>
        <v>0.25557257381216192</v>
      </c>
      <c r="E41" s="20">
        <f>-E28/E27</f>
        <v>0.24556476150353415</v>
      </c>
      <c r="F41" s="20">
        <f>-F28/F27</f>
        <v>0.18342180705869443</v>
      </c>
      <c r="G41" s="125">
        <v>0.16700000000000001</v>
      </c>
      <c r="H41" s="125">
        <v>0.17</v>
      </c>
      <c r="I41" s="125">
        <v>0.16900000000000001</v>
      </c>
      <c r="J41" s="19">
        <f t="shared" ref="J41:K41" si="39">I41</f>
        <v>0.16900000000000001</v>
      </c>
      <c r="K41" s="19">
        <f t="shared" si="39"/>
        <v>0.16900000000000001</v>
      </c>
      <c r="L41" s="167"/>
      <c r="M41" s="167"/>
      <c r="O41" t="s">
        <v>28</v>
      </c>
      <c r="Q41" s="18"/>
      <c r="S41" s="18"/>
      <c r="T41" s="18"/>
      <c r="U41" s="18"/>
    </row>
    <row r="42" spans="2:21" x14ac:dyDescent="0.3">
      <c r="C42" s="17"/>
      <c r="D42"/>
      <c r="E42"/>
      <c r="F42"/>
      <c r="G42" s="16"/>
      <c r="H42"/>
      <c r="I42"/>
      <c r="J42"/>
      <c r="K42"/>
      <c r="L42"/>
      <c r="M42"/>
    </row>
    <row r="43" spans="2:21" x14ac:dyDescent="0.3">
      <c r="B43" t="s">
        <v>82</v>
      </c>
      <c r="C43" s="15" t="s">
        <v>27</v>
      </c>
      <c r="D43" s="14"/>
      <c r="E43" s="14"/>
      <c r="F43" s="14"/>
      <c r="G43" s="10"/>
      <c r="H43" s="10"/>
      <c r="I43" s="10"/>
      <c r="J43" s="10"/>
      <c r="K43" s="10"/>
      <c r="L43" s="46"/>
      <c r="M43" s="46"/>
    </row>
    <row r="44" spans="2:21" x14ac:dyDescent="0.3">
      <c r="C44" s="13" t="str">
        <f t="shared" ref="C44:K44" si="40">C15</f>
        <v xml:space="preserve">Fiscal year  </v>
      </c>
      <c r="D44" s="12"/>
      <c r="E44" s="12">
        <f t="shared" si="40"/>
        <v>2017</v>
      </c>
      <c r="F44" s="12">
        <f t="shared" si="40"/>
        <v>2018</v>
      </c>
      <c r="G44" s="11">
        <f t="shared" si="40"/>
        <v>2019</v>
      </c>
      <c r="H44" s="11">
        <f t="shared" si="40"/>
        <v>2020</v>
      </c>
      <c r="I44" s="11">
        <f t="shared" si="40"/>
        <v>2021</v>
      </c>
      <c r="J44" s="11">
        <f t="shared" si="40"/>
        <v>2022</v>
      </c>
      <c r="K44" s="11">
        <f t="shared" si="40"/>
        <v>2023</v>
      </c>
      <c r="L44" s="11"/>
      <c r="M44" s="11"/>
    </row>
    <row r="45" spans="2:21" x14ac:dyDescent="0.3">
      <c r="C45" s="10" t="str">
        <f t="shared" ref="C45:K45" si="41">C16</f>
        <v>Fiscal year end date</v>
      </c>
      <c r="D45" s="9"/>
      <c r="E45" s="9">
        <f t="shared" si="41"/>
        <v>43372</v>
      </c>
      <c r="F45" s="9">
        <f t="shared" si="41"/>
        <v>43372</v>
      </c>
      <c r="G45" s="9">
        <f t="shared" si="41"/>
        <v>43738</v>
      </c>
      <c r="H45" s="9">
        <f t="shared" si="41"/>
        <v>44104</v>
      </c>
      <c r="I45" s="9">
        <f t="shared" si="41"/>
        <v>44469</v>
      </c>
      <c r="J45" s="9">
        <f t="shared" si="41"/>
        <v>44834</v>
      </c>
      <c r="K45" s="9">
        <f t="shared" si="41"/>
        <v>45199</v>
      </c>
      <c r="L45" s="156"/>
      <c r="M45" s="156"/>
      <c r="O45" s="21" t="s">
        <v>198</v>
      </c>
    </row>
    <row r="46" spans="2:21" x14ac:dyDescent="0.3">
      <c r="C46" t="s">
        <v>26</v>
      </c>
      <c r="D46"/>
      <c r="E46" s="6">
        <f>20289+53892+194714</f>
        <v>268895</v>
      </c>
      <c r="F46" s="6">
        <f>25913+40388+170799</f>
        <v>237100</v>
      </c>
      <c r="G46" s="2">
        <f ca="1">F46+G92</f>
        <v>198262.45808695751</v>
      </c>
      <c r="H46" s="2">
        <f t="shared" ref="H46:K46" ca="1" si="42">G46+H92</f>
        <v>167547.1179188473</v>
      </c>
      <c r="I46" s="2">
        <f t="shared" ca="1" si="42"/>
        <v>142378.75036110004</v>
      </c>
      <c r="J46" s="2">
        <f t="shared" ca="1" si="42"/>
        <v>118801.61557816046</v>
      </c>
      <c r="K46" s="2">
        <f t="shared" ca="1" si="42"/>
        <v>102033.02381070709</v>
      </c>
      <c r="L46" s="2"/>
      <c r="M46" s="2"/>
      <c r="O46" s="2"/>
      <c r="R46" t="s">
        <v>25</v>
      </c>
    </row>
    <row r="47" spans="2:21" x14ac:dyDescent="0.3">
      <c r="C47" t="s">
        <v>24</v>
      </c>
      <c r="D47"/>
      <c r="E47" s="6">
        <v>17874</v>
      </c>
      <c r="F47" s="6">
        <v>23186</v>
      </c>
      <c r="G47" s="2">
        <f ca="1">G101</f>
        <v>23946.473303013707</v>
      </c>
      <c r="H47" s="2">
        <f t="shared" ref="H47:K47" ca="1" si="43">H101</f>
        <v>25493.585123287659</v>
      </c>
      <c r="I47" s="2">
        <f t="shared" ca="1" si="43"/>
        <v>26374.161951893868</v>
      </c>
      <c r="J47" s="2">
        <f t="shared" ca="1" si="43"/>
        <v>28321.751141390268</v>
      </c>
      <c r="K47" s="2">
        <f t="shared" ca="1" si="43"/>
        <v>29669.523078434351</v>
      </c>
      <c r="L47" s="2"/>
      <c r="M47" s="2"/>
      <c r="O47" s="2"/>
      <c r="R47" t="s">
        <v>9</v>
      </c>
    </row>
    <row r="48" spans="2:21" x14ac:dyDescent="0.3">
      <c r="C48" t="s">
        <v>23</v>
      </c>
      <c r="D48"/>
      <c r="E48" s="6">
        <v>4855</v>
      </c>
      <c r="F48" s="6">
        <v>3956</v>
      </c>
      <c r="G48" s="2">
        <f ca="1">G113</f>
        <v>3363.0734705767445</v>
      </c>
      <c r="H48" s="2">
        <f t="shared" ref="H48:K48" ca="1" si="44">H113</f>
        <v>4115.7268114232556</v>
      </c>
      <c r="I48" s="2">
        <f t="shared" ca="1" si="44"/>
        <v>3531.2063308961542</v>
      </c>
      <c r="J48" s="2">
        <f t="shared" ca="1" si="44"/>
        <v>4357.3851757867769</v>
      </c>
      <c r="K48" s="2">
        <f t="shared" ca="1" si="44"/>
        <v>3828.5295462193817</v>
      </c>
      <c r="L48" s="2"/>
      <c r="M48" s="2"/>
      <c r="O48" s="2"/>
      <c r="R48" t="s">
        <v>16</v>
      </c>
    </row>
    <row r="49" spans="3:18" x14ac:dyDescent="0.3">
      <c r="C49" t="s">
        <v>251</v>
      </c>
      <c r="D49"/>
      <c r="E49" s="193">
        <v>17799</v>
      </c>
      <c r="F49" s="193">
        <v>25809</v>
      </c>
      <c r="G49" s="2">
        <f ca="1">F49*(1+G37)</f>
        <v>24584.165146916544</v>
      </c>
      <c r="H49" s="2">
        <f t="shared" ref="H49:K49" ca="1" si="45">G49*(1+H37)</f>
        <v>25787.795039130251</v>
      </c>
      <c r="I49" s="2">
        <f t="shared" ca="1" si="45"/>
        <v>27054.070591564468</v>
      </c>
      <c r="J49" s="2">
        <f t="shared" ca="1" si="45"/>
        <v>28529.234010316915</v>
      </c>
      <c r="K49" s="2">
        <f t="shared" ca="1" si="45"/>
        <v>30248.085079998</v>
      </c>
      <c r="L49" s="2"/>
      <c r="M49" s="2"/>
      <c r="O49" s="2"/>
      <c r="R49" t="s">
        <v>9</v>
      </c>
    </row>
    <row r="50" spans="3:18" x14ac:dyDescent="0.3">
      <c r="C50" t="s">
        <v>22</v>
      </c>
      <c r="D50"/>
      <c r="E50" s="6">
        <v>13936</v>
      </c>
      <c r="F50" s="6">
        <v>12087</v>
      </c>
      <c r="G50" s="2">
        <f ca="1">F50*(1+G37)</f>
        <v>11513.379213870367</v>
      </c>
      <c r="H50" s="2">
        <f t="shared" ref="H50:K50" ca="1" si="46">G50*(1+H37)</f>
        <v>12077.069186639055</v>
      </c>
      <c r="I50" s="2">
        <f t="shared" ca="1" si="46"/>
        <v>12670.097688412561</v>
      </c>
      <c r="J50" s="2">
        <f t="shared" ca="1" si="46"/>
        <v>13360.95360078657</v>
      </c>
      <c r="K50" s="2">
        <f t="shared" ca="1" si="46"/>
        <v>14165.934532989881</v>
      </c>
      <c r="L50" s="2"/>
      <c r="M50" s="2"/>
      <c r="O50" s="2"/>
      <c r="P50" s="3"/>
      <c r="R50" t="s">
        <v>9</v>
      </c>
    </row>
    <row r="51" spans="3:18" x14ac:dyDescent="0.3">
      <c r="C51" t="s">
        <v>21</v>
      </c>
      <c r="D51"/>
      <c r="E51" s="6">
        <v>33783</v>
      </c>
      <c r="F51" s="6">
        <v>41304</v>
      </c>
      <c r="G51" s="2">
        <f>G146</f>
        <v>46656.375</v>
      </c>
      <c r="H51" s="2">
        <f t="shared" ref="H51:K51" si="47">H146</f>
        <v>52234.625</v>
      </c>
      <c r="I51" s="2">
        <f t="shared" si="47"/>
        <v>57431.5</v>
      </c>
      <c r="J51" s="2">
        <f t="shared" ca="1" si="47"/>
        <v>62442.313829055885</v>
      </c>
      <c r="K51" s="2">
        <f t="shared" ca="1" si="47"/>
        <v>67061.293264801512</v>
      </c>
      <c r="L51" s="2"/>
      <c r="M51" s="2"/>
      <c r="O51" s="2"/>
      <c r="P51" s="5"/>
      <c r="R51" t="s">
        <v>20</v>
      </c>
    </row>
    <row r="52" spans="3:18" x14ac:dyDescent="0.3">
      <c r="C52" t="s">
        <v>19</v>
      </c>
      <c r="D52"/>
      <c r="E52" s="6">
        <v>18177</v>
      </c>
      <c r="F52" s="6">
        <v>22283</v>
      </c>
      <c r="G52" s="2">
        <f ca="1">F52*(1+G37)</f>
        <v>21225.500870577758</v>
      </c>
      <c r="H52" s="2">
        <f t="shared" ref="H52:K52" ca="1" si="48">G52*(1+H37)</f>
        <v>22264.692039867467</v>
      </c>
      <c r="I52" s="2">
        <f t="shared" ca="1" si="48"/>
        <v>23357.970281368172</v>
      </c>
      <c r="J52" s="2">
        <f t="shared" ca="1" si="48"/>
        <v>24631.59833592514</v>
      </c>
      <c r="K52" s="2">
        <f t="shared" ca="1" si="48"/>
        <v>26115.621676066316</v>
      </c>
      <c r="L52" s="2"/>
      <c r="M52" s="2"/>
      <c r="O52" s="2"/>
      <c r="P52" s="2"/>
      <c r="R52" t="s">
        <v>9</v>
      </c>
    </row>
    <row r="53" spans="3:18" x14ac:dyDescent="0.3">
      <c r="C53" s="4" t="s">
        <v>18</v>
      </c>
      <c r="D53"/>
      <c r="E53" s="8">
        <f>SUM(E46:E52)</f>
        <v>375319</v>
      </c>
      <c r="F53" s="8">
        <f t="shared" ref="F53:K53" si="49">SUM(F46:F52)</f>
        <v>365725</v>
      </c>
      <c r="G53" s="8">
        <f t="shared" ca="1" si="49"/>
        <v>329551.42509191262</v>
      </c>
      <c r="H53" s="8">
        <f t="shared" ca="1" si="49"/>
        <v>309520.611119195</v>
      </c>
      <c r="I53" s="8">
        <f t="shared" ca="1" si="49"/>
        <v>292797.75720523525</v>
      </c>
      <c r="J53" s="8">
        <f t="shared" ca="1" si="49"/>
        <v>280444.85167142202</v>
      </c>
      <c r="K53" s="8">
        <f t="shared" ca="1" si="49"/>
        <v>273122.01098921656</v>
      </c>
      <c r="L53" s="8"/>
      <c r="M53" s="8"/>
      <c r="O53" s="5"/>
      <c r="P53" s="5"/>
    </row>
    <row r="54" spans="3:18" x14ac:dyDescent="0.3">
      <c r="C54" s="7"/>
      <c r="D54"/>
      <c r="E54" s="2"/>
      <c r="F54" s="2"/>
      <c r="G54" s="2"/>
      <c r="H54" s="2"/>
      <c r="I54" s="2"/>
      <c r="J54" s="2"/>
      <c r="K54" s="2"/>
      <c r="L54" s="2"/>
      <c r="M54" s="2"/>
      <c r="O54" s="5"/>
    </row>
    <row r="55" spans="3:18" x14ac:dyDescent="0.3">
      <c r="C55" s="7" t="s">
        <v>17</v>
      </c>
      <c r="D55"/>
      <c r="E55" s="6">
        <v>44242</v>
      </c>
      <c r="F55" s="6">
        <v>55888</v>
      </c>
      <c r="G55" s="2">
        <f ca="1">F55*(G19/F19)</f>
        <v>53705.147473419311</v>
      </c>
      <c r="H55" s="2">
        <f t="shared" ref="H55:K55" ca="1" si="50">G55*(H19/G19)</f>
        <v>56153.387866882149</v>
      </c>
      <c r="I55" s="2">
        <f t="shared" ca="1" si="50"/>
        <v>58720.691075770126</v>
      </c>
      <c r="J55" s="2">
        <f t="shared" ca="1" si="50"/>
        <v>61922.524053386755</v>
      </c>
      <c r="K55" s="2">
        <f t="shared" ca="1" si="50"/>
        <v>65653.279553798246</v>
      </c>
      <c r="L55" s="2"/>
      <c r="M55" s="2"/>
      <c r="O55" s="2"/>
      <c r="R55" t="s">
        <v>16</v>
      </c>
    </row>
    <row r="56" spans="3:18" x14ac:dyDescent="0.3">
      <c r="C56" s="7" t="s">
        <v>15</v>
      </c>
      <c r="D56"/>
      <c r="E56" s="6">
        <v>30551</v>
      </c>
      <c r="F56" s="6">
        <v>32687</v>
      </c>
      <c r="G56" s="2">
        <f ca="1">F56*(1+G37)</f>
        <v>31135.751333149721</v>
      </c>
      <c r="H56" s="2">
        <f t="shared" ref="H56:K56" ca="1" si="51">G56*(1+H37)</f>
        <v>32660.143997987161</v>
      </c>
      <c r="I56" s="2">
        <f t="shared" ca="1" si="51"/>
        <v>34263.877152406829</v>
      </c>
      <c r="J56" s="2">
        <f t="shared" ca="1" si="51"/>
        <v>36132.165992298389</v>
      </c>
      <c r="K56" s="2">
        <f t="shared" ca="1" si="51"/>
        <v>38309.084312057603</v>
      </c>
      <c r="L56" s="2"/>
      <c r="M56" s="2"/>
      <c r="O56" s="2"/>
      <c r="R56" t="s">
        <v>9</v>
      </c>
    </row>
    <row r="57" spans="3:18" x14ac:dyDescent="0.3">
      <c r="C57" s="7" t="s">
        <v>14</v>
      </c>
      <c r="D57"/>
      <c r="E57" s="6">
        <f>7548+2836</f>
        <v>10384</v>
      </c>
      <c r="F57" s="6">
        <f>7543+2797</f>
        <v>10340</v>
      </c>
      <c r="G57" s="2">
        <f ca="1">F57*(1+G37)</f>
        <v>9849.2877530751703</v>
      </c>
      <c r="H57" s="2">
        <f t="shared" ref="H57:K57" ca="1" si="52">G57*(1+H37)</f>
        <v>10331.504541230068</v>
      </c>
      <c r="I57" s="2">
        <f t="shared" ca="1" si="52"/>
        <v>10838.81940085926</v>
      </c>
      <c r="J57" s="2">
        <f t="shared" ca="1" si="52"/>
        <v>11429.822142147194</v>
      </c>
      <c r="K57" s="2">
        <f t="shared" ca="1" si="52"/>
        <v>12118.454792017486</v>
      </c>
      <c r="L57" s="2"/>
      <c r="M57" s="2"/>
      <c r="O57" s="2"/>
      <c r="P57" s="2"/>
      <c r="R57" t="s">
        <v>9</v>
      </c>
    </row>
    <row r="58" spans="3:18" x14ac:dyDescent="0.3">
      <c r="C58" s="7" t="s">
        <v>13</v>
      </c>
      <c r="D58"/>
      <c r="E58" s="6">
        <v>11977</v>
      </c>
      <c r="F58" s="6">
        <v>11964</v>
      </c>
      <c r="G58" s="79">
        <f ca="1">G200</f>
        <v>12000</v>
      </c>
      <c r="H58" s="79">
        <f t="shared" ref="H58:K58" ca="1" si="53">H200</f>
        <v>12000</v>
      </c>
      <c r="I58" s="79">
        <f t="shared" ca="1" si="53"/>
        <v>12000</v>
      </c>
      <c r="J58" s="79">
        <f t="shared" ca="1" si="53"/>
        <v>12000</v>
      </c>
      <c r="K58" s="79">
        <f t="shared" ca="1" si="53"/>
        <v>12000</v>
      </c>
      <c r="L58" s="79"/>
      <c r="M58" s="79"/>
      <c r="O58" s="2"/>
      <c r="R58" t="s">
        <v>12</v>
      </c>
    </row>
    <row r="59" spans="3:18" x14ac:dyDescent="0.3">
      <c r="C59" s="7" t="s">
        <v>11</v>
      </c>
      <c r="D59"/>
      <c r="E59" s="6">
        <f>6496+97207</f>
        <v>103703</v>
      </c>
      <c r="F59" s="6">
        <f>8784+93735</f>
        <v>102519</v>
      </c>
      <c r="G59" s="2">
        <f>F59</f>
        <v>102519</v>
      </c>
      <c r="H59" s="2">
        <f t="shared" ref="H59:K59" si="54">G59</f>
        <v>102519</v>
      </c>
      <c r="I59" s="2">
        <f t="shared" si="54"/>
        <v>102519</v>
      </c>
      <c r="J59" s="2">
        <f t="shared" si="54"/>
        <v>102519</v>
      </c>
      <c r="K59" s="2">
        <f t="shared" si="54"/>
        <v>102519</v>
      </c>
      <c r="L59" s="2"/>
      <c r="M59" s="2"/>
      <c r="O59" s="2"/>
      <c r="R59" t="s">
        <v>2</v>
      </c>
    </row>
    <row r="60" spans="3:18" x14ac:dyDescent="0.3">
      <c r="C60" s="7" t="s">
        <v>10</v>
      </c>
      <c r="D60"/>
      <c r="E60" s="6">
        <v>40415</v>
      </c>
      <c r="F60" s="6">
        <v>45180</v>
      </c>
      <c r="G60" s="2">
        <f ca="1">F60*(1+G37)</f>
        <v>43035.86273539035</v>
      </c>
      <c r="H60" s="2">
        <f t="shared" ref="H60:K60" ca="1" si="55">G60*(1+H37)</f>
        <v>45142.879610519776</v>
      </c>
      <c r="I60" s="2">
        <f t="shared" ca="1" si="55"/>
        <v>47359.560979769958</v>
      </c>
      <c r="J60" s="2">
        <f t="shared" ca="1" si="55"/>
        <v>49941.911448956504</v>
      </c>
      <c r="K60" s="2">
        <f t="shared" ca="1" si="55"/>
        <v>52950.849855256296</v>
      </c>
      <c r="L60" s="2"/>
      <c r="M60" s="2"/>
      <c r="O60" s="2"/>
      <c r="R60" t="s">
        <v>9</v>
      </c>
    </row>
    <row r="61" spans="3:18" x14ac:dyDescent="0.3">
      <c r="C61" s="4" t="s">
        <v>8</v>
      </c>
      <c r="D61"/>
      <c r="E61" s="8">
        <f>SUM(E55:E60)</f>
        <v>241272</v>
      </c>
      <c r="F61" s="8">
        <f>SUM(F55:F60)</f>
        <v>258578</v>
      </c>
      <c r="G61" s="8">
        <f t="shared" ref="G61" ca="1" si="56">SUM(G55:G60)</f>
        <v>252245.04929503455</v>
      </c>
      <c r="H61" s="8">
        <f t="shared" ref="H61" ca="1" si="57">SUM(H55:H60)</f>
        <v>258806.91601661916</v>
      </c>
      <c r="I61" s="8">
        <f t="shared" ref="I61" ca="1" si="58">SUM(I55:I60)</f>
        <v>265701.94860880618</v>
      </c>
      <c r="J61" s="8">
        <f t="shared" ref="J61" ca="1" si="59">SUM(J55:J60)</f>
        <v>273945.42363678885</v>
      </c>
      <c r="K61" s="8">
        <f t="shared" ref="K61" ca="1" si="60">SUM(K55:K60)</f>
        <v>283550.66851312958</v>
      </c>
      <c r="L61" s="8"/>
      <c r="M61" s="8"/>
    </row>
    <row r="62" spans="3:18" x14ac:dyDescent="0.3">
      <c r="C62" s="4"/>
      <c r="D62"/>
      <c r="E62" s="8"/>
      <c r="F62" s="8"/>
      <c r="G62" s="2"/>
      <c r="H62" s="2"/>
      <c r="I62" s="2"/>
      <c r="J62" s="2"/>
      <c r="K62" s="2"/>
      <c r="L62" s="2"/>
      <c r="M62" s="2"/>
    </row>
    <row r="63" spans="3:18" x14ac:dyDescent="0.3">
      <c r="C63" s="7" t="s">
        <v>7</v>
      </c>
      <c r="D63"/>
      <c r="E63" s="6">
        <v>35867</v>
      </c>
      <c r="F63" s="47">
        <v>40201</v>
      </c>
      <c r="G63" s="2">
        <f ca="1">F63+G33</f>
        <v>45287.576073638433</v>
      </c>
      <c r="H63" s="2">
        <f t="shared" ref="H63:K63" ca="1" si="61">G63+H33</f>
        <v>50623.188670366537</v>
      </c>
      <c r="I63" s="2">
        <f t="shared" ca="1" si="61"/>
        <v>56220.7994634602</v>
      </c>
      <c r="J63" s="2">
        <f t="shared" ca="1" si="61"/>
        <v>62123.628306696759</v>
      </c>
      <c r="K63" s="2">
        <f t="shared" ca="1" si="61"/>
        <v>68382.095288260913</v>
      </c>
      <c r="L63" s="2"/>
      <c r="M63" s="2"/>
      <c r="O63" s="2"/>
      <c r="R63" t="s">
        <v>6</v>
      </c>
    </row>
    <row r="64" spans="3:18" x14ac:dyDescent="0.3">
      <c r="C64" s="7" t="s">
        <v>5</v>
      </c>
      <c r="D64"/>
      <c r="E64" s="6">
        <v>98330</v>
      </c>
      <c r="F64" s="6">
        <v>70400</v>
      </c>
      <c r="G64" s="5">
        <f ca="1">G184</f>
        <v>35472.79972323963</v>
      </c>
      <c r="H64" s="5">
        <f t="shared" ref="H64:K64" ca="1" si="62">H184</f>
        <v>3544.5064322110702</v>
      </c>
      <c r="I64" s="5">
        <f t="shared" ca="1" si="62"/>
        <v>-25670.990867003638</v>
      </c>
      <c r="J64" s="5">
        <f t="shared" ca="1" si="62"/>
        <v>-52170.200271655951</v>
      </c>
      <c r="K64" s="5">
        <f t="shared" ca="1" si="62"/>
        <v>-75356.752808447724</v>
      </c>
      <c r="O64" s="2"/>
      <c r="P64" s="2"/>
      <c r="R64" t="s">
        <v>4</v>
      </c>
    </row>
    <row r="65" spans="2:18" x14ac:dyDescent="0.3">
      <c r="C65" s="7" t="s">
        <v>3</v>
      </c>
      <c r="D65"/>
      <c r="E65" s="45">
        <v>-150</v>
      </c>
      <c r="F65" s="45">
        <v>-3454</v>
      </c>
      <c r="G65" s="5">
        <f>F65</f>
        <v>-3454</v>
      </c>
      <c r="H65" s="5">
        <f t="shared" ref="H65:K65" si="63">G65</f>
        <v>-3454</v>
      </c>
      <c r="I65" s="5">
        <f t="shared" si="63"/>
        <v>-3454</v>
      </c>
      <c r="J65" s="5">
        <f t="shared" si="63"/>
        <v>-3454</v>
      </c>
      <c r="K65" s="5">
        <f t="shared" si="63"/>
        <v>-3454</v>
      </c>
      <c r="O65" s="5"/>
      <c r="R65" t="s">
        <v>2</v>
      </c>
    </row>
    <row r="66" spans="2:18" x14ac:dyDescent="0.3">
      <c r="C66" s="4" t="s">
        <v>1</v>
      </c>
      <c r="D66"/>
      <c r="E66" s="3">
        <f>SUM(E63:E65)</f>
        <v>134047</v>
      </c>
      <c r="F66" s="3">
        <f>SUM(F63:F65)</f>
        <v>107147</v>
      </c>
      <c r="G66" s="3">
        <f t="shared" ref="G66" ca="1" si="64">SUM(G63:G65)</f>
        <v>77306.37579687807</v>
      </c>
      <c r="H66" s="3">
        <f t="shared" ref="H66" ca="1" si="65">SUM(H63:H65)</f>
        <v>50713.695102577607</v>
      </c>
      <c r="I66" s="3">
        <f t="shared" ref="I66" ca="1" si="66">SUM(I63:I65)</f>
        <v>27095.808596456562</v>
      </c>
      <c r="J66" s="3">
        <f t="shared" ref="J66" ca="1" si="67">SUM(J63:J65)</f>
        <v>6499.428035040808</v>
      </c>
      <c r="K66" s="3">
        <f t="shared" ref="K66" ca="1" si="68">SUM(K63:K65)</f>
        <v>-10428.657520186811</v>
      </c>
      <c r="L66" s="3"/>
      <c r="M66" s="3"/>
      <c r="O66" s="5"/>
    </row>
    <row r="67" spans="2:18" x14ac:dyDescent="0.3">
      <c r="D67"/>
      <c r="E67" s="2"/>
      <c r="F67" s="2"/>
      <c r="G67"/>
      <c r="H67"/>
      <c r="I67"/>
      <c r="J67"/>
      <c r="K67"/>
      <c r="L67"/>
      <c r="M67"/>
      <c r="O67" s="5"/>
    </row>
    <row r="68" spans="2:18" x14ac:dyDescent="0.3">
      <c r="C68" s="48" t="s">
        <v>0</v>
      </c>
      <c r="D68"/>
      <c r="E68" s="52">
        <f>ROUND(E53-E61-E66,3)</f>
        <v>0</v>
      </c>
      <c r="F68" s="52">
        <f>ROUND(F53-F61-F66,3)</f>
        <v>0</v>
      </c>
      <c r="G68" s="52">
        <f t="shared" ref="G68:K68" ca="1" si="69">ROUND(G53-G61-G66,3)</f>
        <v>0</v>
      </c>
      <c r="H68" s="52">
        <f t="shared" ca="1" si="69"/>
        <v>0</v>
      </c>
      <c r="I68" s="52">
        <f t="shared" ca="1" si="69"/>
        <v>0</v>
      </c>
      <c r="J68" s="52">
        <f t="shared" ca="1" si="69"/>
        <v>0</v>
      </c>
      <c r="K68" s="52">
        <f t="shared" ca="1" si="69"/>
        <v>0</v>
      </c>
      <c r="L68" s="52"/>
      <c r="M68" s="52"/>
      <c r="O68" s="5"/>
    </row>
    <row r="69" spans="2:18" x14ac:dyDescent="0.3">
      <c r="D69"/>
      <c r="E69"/>
      <c r="F69"/>
      <c r="G69"/>
      <c r="H69"/>
      <c r="I69"/>
      <c r="J69"/>
      <c r="K69"/>
      <c r="L69"/>
      <c r="M69"/>
    </row>
    <row r="70" spans="2:18" x14ac:dyDescent="0.3">
      <c r="B70" t="s">
        <v>82</v>
      </c>
      <c r="C70" s="15" t="s">
        <v>83</v>
      </c>
      <c r="D70" s="10"/>
      <c r="E70" s="10"/>
      <c r="F70" s="10"/>
      <c r="G70" s="49"/>
      <c r="H70" s="49"/>
      <c r="I70" s="49"/>
      <c r="J70" s="49"/>
      <c r="K70" s="49"/>
      <c r="L70" s="157"/>
      <c r="M70" s="157"/>
    </row>
    <row r="71" spans="2:18" x14ac:dyDescent="0.3">
      <c r="C71" t="s">
        <v>69</v>
      </c>
      <c r="D71" s="34"/>
      <c r="E71" s="34"/>
      <c r="F71" s="34"/>
      <c r="G71" s="33">
        <f>G15</f>
        <v>2019</v>
      </c>
      <c r="H71" s="33">
        <f>G71+1</f>
        <v>2020</v>
      </c>
      <c r="I71" s="33">
        <f>H71+1</f>
        <v>2021</v>
      </c>
      <c r="J71" s="33">
        <f>I71+1</f>
        <v>2022</v>
      </c>
      <c r="K71" s="33">
        <f>J71+1</f>
        <v>2023</v>
      </c>
      <c r="L71" s="33"/>
      <c r="M71" s="33"/>
    </row>
    <row r="72" spans="2:18" x14ac:dyDescent="0.3">
      <c r="C72" s="32" t="s">
        <v>68</v>
      </c>
      <c r="D72" s="31"/>
      <c r="E72" s="31"/>
      <c r="F72" s="31"/>
      <c r="G72" s="31">
        <f>G16</f>
        <v>43738</v>
      </c>
      <c r="H72" s="31">
        <f>EOMONTH(G72,12)</f>
        <v>44104</v>
      </c>
      <c r="I72" s="31">
        <f>EOMONTH(H72,12)</f>
        <v>44469</v>
      </c>
      <c r="J72" s="31">
        <f>EOMONTH(I72,12)</f>
        <v>44834</v>
      </c>
      <c r="K72" s="31">
        <f>EOMONTH(J72,12)</f>
        <v>45199</v>
      </c>
      <c r="L72" s="155"/>
      <c r="M72" s="155"/>
    </row>
    <row r="73" spans="2:18" x14ac:dyDescent="0.3">
      <c r="D73"/>
      <c r="E73"/>
      <c r="F73"/>
      <c r="G73"/>
      <c r="H73"/>
      <c r="I73"/>
      <c r="J73"/>
      <c r="K73"/>
      <c r="L73"/>
      <c r="M73"/>
    </row>
    <row r="74" spans="2:18" x14ac:dyDescent="0.3">
      <c r="C74" t="s">
        <v>44</v>
      </c>
      <c r="D74"/>
      <c r="E74"/>
      <c r="F74"/>
      <c r="G74" s="5">
        <f ca="1">G29</f>
        <v>51863.79972323963</v>
      </c>
      <c r="H74" s="5">
        <f t="shared" ref="H74:K74" ca="1" si="70">H29</f>
        <v>54862.70670896965</v>
      </c>
      <c r="I74" s="5">
        <f t="shared" ca="1" si="70"/>
        <v>57575.502700759607</v>
      </c>
      <c r="J74" s="5">
        <f t="shared" ca="1" si="70"/>
        <v>60291.790594967519</v>
      </c>
      <c r="K74" s="5">
        <f t="shared" ca="1" si="70"/>
        <v>63604.447459889569</v>
      </c>
    </row>
    <row r="75" spans="2:18" x14ac:dyDescent="0.3">
      <c r="C75" t="s">
        <v>42</v>
      </c>
      <c r="D75"/>
      <c r="E75"/>
      <c r="F75"/>
      <c r="G75" s="62">
        <f ca="1">G31</f>
        <v>9459.5503644274177</v>
      </c>
      <c r="H75" s="62">
        <f t="shared" ref="H75:K75" ca="1" si="71">H31</f>
        <v>9672.4329574073308</v>
      </c>
      <c r="I75" s="62">
        <f t="shared" ca="1" si="71"/>
        <v>10302.456479649651</v>
      </c>
      <c r="J75" s="62">
        <f t="shared" ca="1" si="71"/>
        <v>11333.641741495876</v>
      </c>
      <c r="K75" s="62">
        <f t="shared" ca="1" si="71"/>
        <v>12710.209371269428</v>
      </c>
      <c r="L75" s="62"/>
      <c r="M75" s="62"/>
    </row>
    <row r="76" spans="2:18" x14ac:dyDescent="0.3">
      <c r="C76" t="s">
        <v>38</v>
      </c>
      <c r="D76"/>
      <c r="E76"/>
      <c r="F76"/>
      <c r="G76" s="5">
        <f ca="1">G33</f>
        <v>5086.5760736384345</v>
      </c>
      <c r="H76" s="5">
        <f ca="1">H33</f>
        <v>5335.6125967281014</v>
      </c>
      <c r="I76" s="5">
        <f ca="1">I33</f>
        <v>5597.6107930936605</v>
      </c>
      <c r="J76" s="5">
        <f ca="1">J33</f>
        <v>5902.8288432365589</v>
      </c>
      <c r="K76" s="5">
        <f ca="1">K33</f>
        <v>6258.4669815641573</v>
      </c>
    </row>
    <row r="77" spans="2:18" x14ac:dyDescent="0.3">
      <c r="C77" t="s">
        <v>84</v>
      </c>
      <c r="D77"/>
      <c r="E77"/>
      <c r="F77"/>
      <c r="G77" s="5">
        <f ca="1">SUM(F47:F50)-SUM(G47:G50)</f>
        <v>1630.9088656226377</v>
      </c>
      <c r="H77" s="5">
        <f t="shared" ref="H77:K77" ca="1" si="72">SUM(G47:G50)-SUM(H47:H50)</f>
        <v>-4067.0850261028536</v>
      </c>
      <c r="I77" s="5">
        <f t="shared" ca="1" si="72"/>
        <v>-2155.3604022868385</v>
      </c>
      <c r="J77" s="5">
        <f t="shared" ca="1" si="72"/>
        <v>-4939.7873655134754</v>
      </c>
      <c r="K77" s="5">
        <f t="shared" ca="1" si="72"/>
        <v>-3342.748309361079</v>
      </c>
    </row>
    <row r="78" spans="2:18" x14ac:dyDescent="0.3">
      <c r="C78" t="s">
        <v>85</v>
      </c>
      <c r="D78"/>
      <c r="E78"/>
      <c r="F78"/>
      <c r="G78" s="5">
        <f ca="1">SUM(G55:G57)-SUM(F55:F57)</f>
        <v>-4224.8134403557924</v>
      </c>
      <c r="H78" s="5">
        <f t="shared" ref="H78:K78" ca="1" si="73">SUM(H55:H57)-SUM(G55:G57)</f>
        <v>4454.8498464551667</v>
      </c>
      <c r="I78" s="5">
        <f t="shared" ca="1" si="73"/>
        <v>4678.3512229368353</v>
      </c>
      <c r="J78" s="5">
        <f t="shared" ca="1" si="73"/>
        <v>5661.1245587961312</v>
      </c>
      <c r="K78" s="5">
        <f t="shared" ca="1" si="73"/>
        <v>6596.3064700409886</v>
      </c>
    </row>
    <row r="79" spans="2:18" x14ac:dyDescent="0.3">
      <c r="C79" t="str">
        <f>C52</f>
        <v>Other non current assets</v>
      </c>
      <c r="D79"/>
      <c r="E79"/>
      <c r="F79"/>
      <c r="G79" s="62">
        <f ca="1">-G176</f>
        <v>-469.42623500517584</v>
      </c>
      <c r="H79" s="62">
        <f t="shared" ref="H79:K79" ca="1" si="74">-H176</f>
        <v>-2640.8741266970392</v>
      </c>
      <c r="I79" s="62">
        <f t="shared" ca="1" si="74"/>
        <v>-2773.609721150357</v>
      </c>
      <c r="J79" s="62">
        <f t="shared" ca="1" si="74"/>
        <v>-3045.5821061877177</v>
      </c>
      <c r="K79" s="62">
        <f t="shared" ca="1" si="74"/>
        <v>-3362.7354321725124</v>
      </c>
      <c r="L79" s="62"/>
      <c r="M79" s="62"/>
    </row>
    <row r="80" spans="2:18" x14ac:dyDescent="0.3">
      <c r="C80" s="69" t="str">
        <f>C60</f>
        <v>Other non current liabilities</v>
      </c>
      <c r="D80" s="69"/>
      <c r="E80" s="69"/>
      <c r="F80" s="69"/>
      <c r="G80" s="66">
        <f ca="1">G60-F60</f>
        <v>-2144.1372646096497</v>
      </c>
      <c r="H80" s="66">
        <f t="shared" ref="H80:K80" ca="1" si="75">H60-G60</f>
        <v>2107.0168751294259</v>
      </c>
      <c r="I80" s="66">
        <f t="shared" ca="1" si="75"/>
        <v>2216.6813692501819</v>
      </c>
      <c r="J80" s="66">
        <f t="shared" ca="1" si="75"/>
        <v>2582.3504691865455</v>
      </c>
      <c r="K80" s="66">
        <f t="shared" ca="1" si="75"/>
        <v>3008.9384062997924</v>
      </c>
      <c r="L80" s="60"/>
      <c r="M80" s="60"/>
    </row>
    <row r="81" spans="2:14" x14ac:dyDescent="0.3">
      <c r="B81" t="s">
        <v>82</v>
      </c>
      <c r="C81" s="22" t="s">
        <v>86</v>
      </c>
      <c r="D81"/>
      <c r="E81"/>
      <c r="F81"/>
      <c r="G81" s="50">
        <f ca="1">SUM(G74:G80)</f>
        <v>61202.458086957507</v>
      </c>
      <c r="H81" s="50">
        <f t="shared" ref="H81:K81" ca="1" si="76">SUM(H74:H80)</f>
        <v>69724.659831889789</v>
      </c>
      <c r="I81" s="50">
        <f t="shared" ca="1" si="76"/>
        <v>75441.63244225274</v>
      </c>
      <c r="J81" s="50">
        <f t="shared" ca="1" si="76"/>
        <v>77786.366735981428</v>
      </c>
      <c r="K81" s="50">
        <f t="shared" ca="1" si="76"/>
        <v>85472.884947530343</v>
      </c>
      <c r="L81" s="50"/>
      <c r="M81" s="50"/>
    </row>
    <row r="82" spans="2:14" x14ac:dyDescent="0.3">
      <c r="D82"/>
      <c r="E82"/>
      <c r="F82"/>
    </row>
    <row r="83" spans="2:14" x14ac:dyDescent="0.3">
      <c r="C83" s="69" t="s">
        <v>87</v>
      </c>
      <c r="D83" s="69"/>
      <c r="E83" s="69"/>
      <c r="F83" s="69"/>
      <c r="G83" s="66">
        <f>-G144</f>
        <v>-13285</v>
      </c>
      <c r="H83" s="66">
        <f t="shared" ref="H83:K83" si="77">-H144</f>
        <v>-13649</v>
      </c>
      <c r="I83" s="66">
        <f t="shared" si="77"/>
        <v>-13819</v>
      </c>
      <c r="J83" s="66">
        <f t="shared" ca="1" si="77"/>
        <v>-14572.50151892101</v>
      </c>
      <c r="K83" s="66">
        <f t="shared" ca="1" si="77"/>
        <v>-15450.476714983708</v>
      </c>
      <c r="L83" s="60"/>
      <c r="M83" s="60"/>
    </row>
    <row r="84" spans="2:14" x14ac:dyDescent="0.3">
      <c r="C84" s="22" t="s">
        <v>90</v>
      </c>
      <c r="D84"/>
      <c r="E84"/>
      <c r="F84"/>
      <c r="G84" s="50">
        <f>SUM(G83)</f>
        <v>-13285</v>
      </c>
      <c r="H84" s="50">
        <f t="shared" ref="H84:K84" si="78">SUM(H83)</f>
        <v>-13649</v>
      </c>
      <c r="I84" s="50">
        <f t="shared" si="78"/>
        <v>-13819</v>
      </c>
      <c r="J84" s="50">
        <f t="shared" ca="1" si="78"/>
        <v>-14572.50151892101</v>
      </c>
      <c r="K84" s="50">
        <f t="shared" ca="1" si="78"/>
        <v>-15450.476714983708</v>
      </c>
      <c r="L84" s="50"/>
      <c r="M84" s="50"/>
    </row>
    <row r="85" spans="2:14" x14ac:dyDescent="0.3">
      <c r="D85"/>
      <c r="E85"/>
      <c r="F85"/>
      <c r="G85"/>
      <c r="H85"/>
      <c r="I85"/>
      <c r="J85"/>
      <c r="K85"/>
      <c r="L85"/>
      <c r="M85"/>
    </row>
    <row r="86" spans="2:14" x14ac:dyDescent="0.3">
      <c r="C86" t="str">
        <f>C59</f>
        <v>Long term debt (includes current portion)</v>
      </c>
      <c r="D86"/>
      <c r="E86"/>
      <c r="F86"/>
      <c r="G86" s="2">
        <f>F59-G59</f>
        <v>0</v>
      </c>
      <c r="H86" s="2">
        <f t="shared" ref="H86:K86" si="79">G59-H59</f>
        <v>0</v>
      </c>
      <c r="I86" s="2">
        <f t="shared" si="79"/>
        <v>0</v>
      </c>
      <c r="J86" s="2">
        <f t="shared" si="79"/>
        <v>0</v>
      </c>
      <c r="K86" s="2">
        <f t="shared" si="79"/>
        <v>0</v>
      </c>
      <c r="L86" s="2"/>
      <c r="M86" s="2"/>
    </row>
    <row r="87" spans="2:14" x14ac:dyDescent="0.3">
      <c r="C87" t="s">
        <v>13</v>
      </c>
      <c r="D87"/>
      <c r="E87"/>
      <c r="F87"/>
      <c r="G87" s="79">
        <f ca="1">G58-F58</f>
        <v>36</v>
      </c>
      <c r="H87" s="79">
        <f t="shared" ref="H87:K87" ca="1" si="80">H58-G58</f>
        <v>0</v>
      </c>
      <c r="I87" s="79">
        <f t="shared" ca="1" si="80"/>
        <v>0</v>
      </c>
      <c r="J87" s="79">
        <f t="shared" ca="1" si="80"/>
        <v>0</v>
      </c>
      <c r="K87" s="79">
        <f t="shared" ca="1" si="80"/>
        <v>0</v>
      </c>
      <c r="L87" s="79"/>
      <c r="M87" s="79"/>
    </row>
    <row r="88" spans="2:14" x14ac:dyDescent="0.3">
      <c r="C88" t="s">
        <v>88</v>
      </c>
      <c r="D88"/>
      <c r="E88"/>
      <c r="F88"/>
      <c r="G88" s="62">
        <f>G183</f>
        <v>-73056</v>
      </c>
      <c r="H88" s="62">
        <f t="shared" ref="H88:K88" si="81">H183</f>
        <v>-73056</v>
      </c>
      <c r="I88" s="62">
        <f t="shared" si="81"/>
        <v>-73056</v>
      </c>
      <c r="J88" s="62">
        <f t="shared" si="81"/>
        <v>-73056</v>
      </c>
      <c r="K88" s="62">
        <f t="shared" si="81"/>
        <v>-73056</v>
      </c>
      <c r="L88" s="62"/>
      <c r="M88" s="62"/>
    </row>
    <row r="89" spans="2:14" x14ac:dyDescent="0.3">
      <c r="C89" s="69" t="s">
        <v>89</v>
      </c>
      <c r="D89" s="69"/>
      <c r="E89" s="69"/>
      <c r="F89" s="69"/>
      <c r="G89" s="71">
        <f>G182</f>
        <v>-13735</v>
      </c>
      <c r="H89" s="71">
        <f t="shared" ref="H89:K89" si="82">H182</f>
        <v>-13735</v>
      </c>
      <c r="I89" s="71">
        <f t="shared" si="82"/>
        <v>-13735</v>
      </c>
      <c r="J89" s="71">
        <f t="shared" si="82"/>
        <v>-13735</v>
      </c>
      <c r="K89" s="71">
        <f t="shared" si="82"/>
        <v>-13735</v>
      </c>
      <c r="L89" s="158"/>
      <c r="M89" s="158"/>
    </row>
    <row r="90" spans="2:14" x14ac:dyDescent="0.3">
      <c r="C90" s="22" t="s">
        <v>91</v>
      </c>
      <c r="D90"/>
      <c r="E90"/>
      <c r="F90"/>
      <c r="G90" s="50">
        <f ca="1">SUM(G86:G89)</f>
        <v>-86755</v>
      </c>
      <c r="H90" s="50">
        <f t="shared" ref="H90:K90" ca="1" si="83">SUM(H86:H89)</f>
        <v>-86791</v>
      </c>
      <c r="I90" s="50">
        <f t="shared" ca="1" si="83"/>
        <v>-86791</v>
      </c>
      <c r="J90" s="50">
        <f t="shared" ca="1" si="83"/>
        <v>-86791</v>
      </c>
      <c r="K90" s="50">
        <f t="shared" ca="1" si="83"/>
        <v>-86791</v>
      </c>
      <c r="L90" s="50"/>
      <c r="M90" s="50"/>
      <c r="N90" s="50"/>
    </row>
    <row r="91" spans="2:14" x14ac:dyDescent="0.3">
      <c r="D91"/>
      <c r="E91"/>
      <c r="F91"/>
      <c r="G91"/>
      <c r="H91"/>
      <c r="I91"/>
      <c r="J91"/>
      <c r="K91"/>
      <c r="L91"/>
      <c r="M91"/>
    </row>
    <row r="92" spans="2:14" x14ac:dyDescent="0.3">
      <c r="C92" s="22" t="s">
        <v>92</v>
      </c>
      <c r="D92"/>
      <c r="E92"/>
      <c r="F92"/>
      <c r="G92" s="50">
        <f ca="1">G81+G84+G90</f>
        <v>-38837.541913042493</v>
      </c>
      <c r="H92" s="50">
        <f t="shared" ref="H92:K92" ca="1" si="84">H81+H84+H90</f>
        <v>-30715.340168110211</v>
      </c>
      <c r="I92" s="50">
        <f t="shared" ca="1" si="84"/>
        <v>-25168.36755774726</v>
      </c>
      <c r="J92" s="50">
        <f t="shared" ca="1" si="84"/>
        <v>-23577.134782939582</v>
      </c>
      <c r="K92" s="50">
        <f t="shared" ca="1" si="84"/>
        <v>-16768.59176745337</v>
      </c>
      <c r="L92" s="50"/>
      <c r="M92" s="50"/>
    </row>
    <row r="93" spans="2:14" x14ac:dyDescent="0.3">
      <c r="C93" s="22"/>
      <c r="D93"/>
      <c r="E93"/>
      <c r="F93"/>
      <c r="G93" s="50"/>
      <c r="H93" s="50"/>
      <c r="I93" s="50"/>
      <c r="J93" s="50"/>
      <c r="K93" s="50"/>
      <c r="L93" s="50"/>
      <c r="M93" s="50"/>
    </row>
    <row r="94" spans="2:14" ht="15" thickBot="1" x14ac:dyDescent="0.35">
      <c r="B94" t="s">
        <v>82</v>
      </c>
      <c r="C94" s="57" t="s">
        <v>223</v>
      </c>
      <c r="D94" s="57"/>
      <c r="E94" s="170"/>
      <c r="F94" s="170"/>
      <c r="G94" s="170"/>
      <c r="H94" s="170"/>
      <c r="I94" s="170"/>
      <c r="J94" s="170"/>
      <c r="K94" s="170"/>
      <c r="L94" s="180"/>
      <c r="M94" s="50"/>
    </row>
    <row r="95" spans="2:14" x14ac:dyDescent="0.3">
      <c r="C95" s="1" t="s">
        <v>224</v>
      </c>
      <c r="D95" s="171"/>
      <c r="E95" s="177">
        <v>2017</v>
      </c>
      <c r="F95" s="177">
        <v>2018</v>
      </c>
      <c r="G95" s="178">
        <v>2019</v>
      </c>
      <c r="H95" s="178">
        <v>2020</v>
      </c>
      <c r="I95" s="178">
        <v>2021</v>
      </c>
      <c r="J95" s="178">
        <v>2022</v>
      </c>
      <c r="K95" s="178">
        <v>2023</v>
      </c>
      <c r="L95" s="181"/>
      <c r="M95" s="50"/>
    </row>
    <row r="96" spans="2:14" x14ac:dyDescent="0.3">
      <c r="C96" s="29" t="s">
        <v>68</v>
      </c>
      <c r="D96" s="29"/>
      <c r="E96" s="179">
        <v>43372</v>
      </c>
      <c r="F96" s="179">
        <v>43372</v>
      </c>
      <c r="G96" s="179">
        <v>43738</v>
      </c>
      <c r="H96" s="179">
        <v>44104</v>
      </c>
      <c r="I96" s="179">
        <v>44469</v>
      </c>
      <c r="J96" s="179">
        <v>44834</v>
      </c>
      <c r="K96" s="179">
        <v>45199</v>
      </c>
      <c r="L96" s="182"/>
      <c r="M96" s="50"/>
    </row>
    <row r="97" spans="3:13" x14ac:dyDescent="0.3">
      <c r="D97"/>
      <c r="E97" s="89"/>
      <c r="F97" s="89"/>
      <c r="G97" s="89"/>
      <c r="H97" s="89"/>
      <c r="I97" s="89"/>
      <c r="J97" s="89"/>
      <c r="K97" s="89"/>
      <c r="L97" s="89"/>
      <c r="M97" s="50"/>
    </row>
    <row r="98" spans="3:13" x14ac:dyDescent="0.3">
      <c r="C98" s="184" t="s">
        <v>225</v>
      </c>
      <c r="D98" s="184"/>
      <c r="E98" s="215" t="s">
        <v>249</v>
      </c>
      <c r="F98" s="215"/>
      <c r="G98" s="215" t="s">
        <v>250</v>
      </c>
      <c r="H98" s="215"/>
      <c r="I98" s="215"/>
      <c r="J98" s="215"/>
      <c r="K98" s="215"/>
      <c r="L98"/>
      <c r="M98" s="50"/>
    </row>
    <row r="99" spans="3:13" x14ac:dyDescent="0.3">
      <c r="C99" t="s">
        <v>134</v>
      </c>
      <c r="D99"/>
      <c r="E99" s="89"/>
      <c r="F99" s="89"/>
      <c r="G99" s="172">
        <f>F101</f>
        <v>23186</v>
      </c>
      <c r="H99" s="172">
        <f t="shared" ref="H99:K99" ca="1" si="85">G101</f>
        <v>23946.473303013707</v>
      </c>
      <c r="I99" s="172">
        <f t="shared" ca="1" si="85"/>
        <v>25493.585123287659</v>
      </c>
      <c r="J99" s="172">
        <f t="shared" ca="1" si="85"/>
        <v>26374.161951893868</v>
      </c>
      <c r="K99" s="172">
        <f t="shared" ca="1" si="85"/>
        <v>28321.751141390268</v>
      </c>
      <c r="L99"/>
      <c r="M99" s="50"/>
    </row>
    <row r="100" spans="3:13" x14ac:dyDescent="0.3">
      <c r="C100" t="s">
        <v>226</v>
      </c>
      <c r="D100"/>
      <c r="E100" s="89"/>
      <c r="F100" s="89"/>
      <c r="G100" s="172">
        <f ca="1">G101-G99</f>
        <v>760.47330301370675</v>
      </c>
      <c r="H100" s="172">
        <f t="shared" ref="H100:K100" ca="1" si="86">H101-H99</f>
        <v>1547.1118202739526</v>
      </c>
      <c r="I100" s="172">
        <f t="shared" ca="1" si="86"/>
        <v>880.57682860620844</v>
      </c>
      <c r="J100" s="172">
        <f t="shared" ca="1" si="86"/>
        <v>1947.5891894964006</v>
      </c>
      <c r="K100" s="172">
        <f t="shared" ca="1" si="86"/>
        <v>1347.7719370440827</v>
      </c>
      <c r="L100"/>
      <c r="M100" s="50"/>
    </row>
    <row r="101" spans="3:13" x14ac:dyDescent="0.3">
      <c r="C101" t="s">
        <v>103</v>
      </c>
      <c r="D101"/>
      <c r="E101" s="106">
        <f t="shared" ref="E101" si="87">E47</f>
        <v>17874</v>
      </c>
      <c r="F101" s="106">
        <f>F47</f>
        <v>23186</v>
      </c>
      <c r="G101" s="185">
        <f ca="1">IF($G$105=1,F101*(1+G107),2*G18*G108/365-G99)</f>
        <v>23946.473303013707</v>
      </c>
      <c r="H101" s="185">
        <f t="shared" ref="H101:K101" ca="1" si="88">IF($G$105=1,G101*(1+H107),2*H18*H108/365-H99)</f>
        <v>25493.585123287659</v>
      </c>
      <c r="I101" s="185">
        <f t="shared" ca="1" si="88"/>
        <v>26374.161951893868</v>
      </c>
      <c r="J101" s="185">
        <f t="shared" ca="1" si="88"/>
        <v>28321.751141390268</v>
      </c>
      <c r="K101" s="185">
        <f t="shared" ca="1" si="88"/>
        <v>29669.523078434351</v>
      </c>
      <c r="L101"/>
      <c r="M101" s="50"/>
    </row>
    <row r="102" spans="3:13" x14ac:dyDescent="0.3">
      <c r="D102"/>
      <c r="E102" s="89"/>
      <c r="F102" s="89"/>
      <c r="G102" s="89"/>
      <c r="H102" s="89"/>
      <c r="I102" s="89"/>
      <c r="J102" s="89"/>
      <c r="K102" s="89"/>
      <c r="L102"/>
      <c r="M102" s="50"/>
    </row>
    <row r="103" spans="3:13" x14ac:dyDescent="0.3">
      <c r="C103" t="s">
        <v>227</v>
      </c>
      <c r="D103"/>
      <c r="E103" s="89"/>
      <c r="F103" s="173">
        <f>AVERAGE(E101:F101)/F18</f>
        <v>7.729814190779194E-2</v>
      </c>
      <c r="G103" s="173">
        <f t="shared" ref="G103:K103" ca="1" si="89">AVERAGE(F101:G101)/G18</f>
        <v>9.3150684931506869E-2</v>
      </c>
      <c r="H103" s="173">
        <f t="shared" ca="1" si="89"/>
        <v>9.3150684931506841E-2</v>
      </c>
      <c r="I103" s="173">
        <f t="shared" ca="1" si="89"/>
        <v>9.3150684931506841E-2</v>
      </c>
      <c r="J103" s="173">
        <f t="shared" ca="1" si="89"/>
        <v>9.3150684931506841E-2</v>
      </c>
      <c r="K103" s="173">
        <f t="shared" ca="1" si="89"/>
        <v>9.3150684931506841E-2</v>
      </c>
      <c r="L103"/>
      <c r="M103" s="50"/>
    </row>
    <row r="104" spans="3:13" x14ac:dyDescent="0.3">
      <c r="D104"/>
      <c r="E104" s="89"/>
      <c r="F104" s="89"/>
      <c r="G104" s="89"/>
      <c r="H104" s="89"/>
      <c r="I104" s="89"/>
      <c r="J104" s="89"/>
      <c r="K104" s="89"/>
      <c r="L104"/>
      <c r="M104" s="50"/>
    </row>
    <row r="105" spans="3:13" x14ac:dyDescent="0.3">
      <c r="C105" t="s">
        <v>228</v>
      </c>
      <c r="D105"/>
      <c r="E105" s="89"/>
      <c r="F105" s="89"/>
      <c r="G105" s="174">
        <v>2</v>
      </c>
      <c r="I105" s="89"/>
      <c r="J105" s="89"/>
      <c r="K105" s="89"/>
      <c r="L105"/>
      <c r="M105" s="50"/>
    </row>
    <row r="106" spans="3:13" x14ac:dyDescent="0.3">
      <c r="D106"/>
      <c r="E106" s="89"/>
      <c r="F106" s="89"/>
      <c r="G106" s="89"/>
      <c r="H106" s="89"/>
      <c r="I106" s="89"/>
      <c r="J106" s="89"/>
      <c r="K106" s="89"/>
      <c r="L106"/>
      <c r="M106" s="50"/>
    </row>
    <row r="107" spans="3:13" x14ac:dyDescent="0.3">
      <c r="C107" t="s">
        <v>229</v>
      </c>
      <c r="D107"/>
      <c r="E107" s="89"/>
      <c r="F107" s="89"/>
      <c r="G107" s="188">
        <f ca="1">G37</f>
        <v>-4.7457664112652731E-2</v>
      </c>
      <c r="H107" s="188">
        <f t="shared" ref="H107:K107" ca="1" si="90">H37</f>
        <v>4.8959559335073566E-2</v>
      </c>
      <c r="I107" s="188">
        <f t="shared" ca="1" si="90"/>
        <v>4.9103676778599281E-2</v>
      </c>
      <c r="J107" s="188">
        <f t="shared" ca="1" si="90"/>
        <v>5.452648664310078E-2</v>
      </c>
      <c r="K107" s="188">
        <f t="shared" ca="1" si="90"/>
        <v>6.0248763393349503E-2</v>
      </c>
      <c r="L107"/>
      <c r="M107" s="50"/>
    </row>
    <row r="108" spans="3:13" x14ac:dyDescent="0.3">
      <c r="C108" t="s">
        <v>230</v>
      </c>
      <c r="D108"/>
      <c r="E108" s="89"/>
      <c r="F108" s="186">
        <f>F103*365</f>
        <v>28.213821796344057</v>
      </c>
      <c r="G108" s="187">
        <v>34</v>
      </c>
      <c r="H108" s="187">
        <v>34</v>
      </c>
      <c r="I108" s="187">
        <v>34</v>
      </c>
      <c r="J108" s="187">
        <v>34</v>
      </c>
      <c r="K108" s="187">
        <v>34</v>
      </c>
      <c r="L108"/>
      <c r="M108" s="50"/>
    </row>
    <row r="109" spans="3:13" x14ac:dyDescent="0.3">
      <c r="D109"/>
      <c r="E109" s="89"/>
      <c r="F109" s="89"/>
      <c r="G109" s="89"/>
      <c r="H109" s="89"/>
      <c r="I109" s="89"/>
      <c r="J109" s="89"/>
      <c r="K109" s="89"/>
      <c r="L109"/>
      <c r="M109" s="50"/>
    </row>
    <row r="110" spans="3:13" x14ac:dyDescent="0.3">
      <c r="C110" s="74" t="s">
        <v>23</v>
      </c>
      <c r="D110" s="74"/>
      <c r="E110" s="183"/>
      <c r="F110" s="183"/>
      <c r="G110" s="183"/>
      <c r="H110" s="183"/>
      <c r="I110" s="183"/>
      <c r="J110" s="183"/>
      <c r="K110" s="183"/>
      <c r="L110"/>
      <c r="M110" s="50"/>
    </row>
    <row r="111" spans="3:13" x14ac:dyDescent="0.3">
      <c r="C111" t="s">
        <v>134</v>
      </c>
      <c r="D111"/>
      <c r="E111" s="89"/>
      <c r="F111" s="89"/>
      <c r="G111" s="172">
        <f>F113</f>
        <v>3956</v>
      </c>
      <c r="H111" s="172">
        <f t="shared" ref="H111:K111" ca="1" si="91">G113</f>
        <v>3363.0734705767445</v>
      </c>
      <c r="I111" s="172">
        <f t="shared" ca="1" si="91"/>
        <v>4115.7268114232556</v>
      </c>
      <c r="J111" s="172">
        <f t="shared" ca="1" si="91"/>
        <v>3531.2063308961542</v>
      </c>
      <c r="K111" s="172">
        <f t="shared" ca="1" si="91"/>
        <v>4357.3851757867769</v>
      </c>
      <c r="L111"/>
      <c r="M111" s="50"/>
    </row>
    <row r="112" spans="3:13" x14ac:dyDescent="0.3">
      <c r="C112" t="s">
        <v>226</v>
      </c>
      <c r="D112"/>
      <c r="E112" s="89"/>
      <c r="F112" s="89"/>
      <c r="G112" s="172">
        <f ca="1">G113-G111</f>
        <v>-592.92652942325549</v>
      </c>
      <c r="H112" s="172">
        <f t="shared" ref="H112:K112" ca="1" si="92">H113-H111</f>
        <v>752.65334084651113</v>
      </c>
      <c r="I112" s="172">
        <f t="shared" ca="1" si="92"/>
        <v>-584.52048052710143</v>
      </c>
      <c r="J112" s="172">
        <f t="shared" ca="1" si="92"/>
        <v>826.17884489062271</v>
      </c>
      <c r="K112" s="172">
        <f t="shared" ca="1" si="92"/>
        <v>-528.85562956739523</v>
      </c>
      <c r="L112"/>
      <c r="M112" s="50"/>
    </row>
    <row r="113" spans="3:13" x14ac:dyDescent="0.3">
      <c r="C113" t="s">
        <v>103</v>
      </c>
      <c r="D113"/>
      <c r="E113" s="106">
        <f>E48</f>
        <v>4855</v>
      </c>
      <c r="F113" s="106">
        <f t="shared" ref="F113" si="93">F48</f>
        <v>3956</v>
      </c>
      <c r="G113" s="185">
        <f ca="1">IF($G$115=1,-2*G117*G19-G111,-G19/G118*2-G111)</f>
        <v>3363.0734705767445</v>
      </c>
      <c r="H113" s="185">
        <f ca="1">IF($G$115=1,-2*H117*H19-H111,-H19/H118*2-H111)</f>
        <v>4115.7268114232556</v>
      </c>
      <c r="I113" s="185">
        <f ca="1">IF($G$115=1,-2*I117*I19-I111,-I19/I118*2-I111)</f>
        <v>3531.2063308961542</v>
      </c>
      <c r="J113" s="185">
        <f ca="1">IF($G$115=1,-2*J117*J19-J111,-J19/J118*2-J111)</f>
        <v>4357.3851757867769</v>
      </c>
      <c r="K113" s="185">
        <f ca="1">IF($G$115=1,-2*K117*K19-K111,-K19/K118*2-K111)</f>
        <v>3828.5295462193817</v>
      </c>
      <c r="L113"/>
      <c r="M113" s="50"/>
    </row>
    <row r="114" spans="3:13" x14ac:dyDescent="0.3">
      <c r="D114"/>
      <c r="E114" s="89"/>
      <c r="F114" s="89" t="s">
        <v>93</v>
      </c>
      <c r="G114" s="89"/>
      <c r="H114" s="89"/>
      <c r="I114" s="89"/>
      <c r="J114" s="89"/>
      <c r="K114" s="89"/>
      <c r="L114"/>
      <c r="M114" s="50"/>
    </row>
    <row r="115" spans="3:13" x14ac:dyDescent="0.3">
      <c r="C115" t="s">
        <v>231</v>
      </c>
      <c r="D115"/>
      <c r="E115" s="89"/>
      <c r="F115" s="89"/>
      <c r="G115" s="174">
        <v>2</v>
      </c>
      <c r="I115" s="89"/>
      <c r="J115" s="89"/>
      <c r="K115" s="89"/>
      <c r="L115"/>
      <c r="M115" s="50"/>
    </row>
    <row r="116" spans="3:13" x14ac:dyDescent="0.3">
      <c r="D116"/>
      <c r="E116" s="89"/>
      <c r="F116" s="89"/>
      <c r="G116" s="89"/>
      <c r="H116" s="89"/>
      <c r="I116" s="89"/>
      <c r="J116" s="89"/>
      <c r="K116" s="89"/>
      <c r="L116"/>
      <c r="M116" s="50"/>
    </row>
    <row r="117" spans="3:13" x14ac:dyDescent="0.3">
      <c r="C117" t="s">
        <v>232</v>
      </c>
      <c r="D117"/>
      <c r="E117" s="89"/>
      <c r="F117" s="189">
        <f>-(AVERAGE(E113:F113)/F19)</f>
        <v>2.6902831041305357E-2</v>
      </c>
      <c r="G117" s="190">
        <f>F117</f>
        <v>2.6902831041305357E-2</v>
      </c>
      <c r="H117" s="190">
        <f t="shared" ref="H117:K117" si="94">G117</f>
        <v>2.6902831041305357E-2</v>
      </c>
      <c r="I117" s="190">
        <f t="shared" si="94"/>
        <v>2.6902831041305357E-2</v>
      </c>
      <c r="J117" s="190">
        <f t="shared" si="94"/>
        <v>2.6902831041305357E-2</v>
      </c>
      <c r="K117" s="190">
        <f t="shared" si="94"/>
        <v>2.6902831041305357E-2</v>
      </c>
      <c r="L117"/>
      <c r="M117" s="50"/>
    </row>
    <row r="118" spans="3:13" x14ac:dyDescent="0.3">
      <c r="C118" t="s">
        <v>233</v>
      </c>
      <c r="D118"/>
      <c r="E118" s="89"/>
      <c r="F118" s="191">
        <f>-F19/AVERAGE(E113:F113)</f>
        <v>37.170809215753039</v>
      </c>
      <c r="G118" s="192">
        <v>43</v>
      </c>
      <c r="H118" s="192">
        <v>44</v>
      </c>
      <c r="I118" s="192">
        <v>45</v>
      </c>
      <c r="J118" s="192">
        <v>46</v>
      </c>
      <c r="K118" s="192">
        <v>47</v>
      </c>
      <c r="L118"/>
      <c r="M118" s="50"/>
    </row>
    <row r="119" spans="3:13" x14ac:dyDescent="0.3">
      <c r="D119"/>
      <c r="E119" s="89"/>
      <c r="F119" s="89"/>
      <c r="G119" s="89"/>
      <c r="H119" s="89"/>
      <c r="I119" s="89"/>
      <c r="J119" s="89"/>
      <c r="K119" s="89"/>
      <c r="L119"/>
      <c r="M119" s="50"/>
    </row>
    <row r="120" spans="3:13" x14ac:dyDescent="0.3">
      <c r="C120" s="74" t="s">
        <v>234</v>
      </c>
      <c r="D120" s="74"/>
      <c r="E120" s="183"/>
      <c r="F120" s="183"/>
      <c r="G120" s="183"/>
      <c r="H120" s="183"/>
      <c r="I120" s="183"/>
      <c r="J120" s="183"/>
      <c r="K120" s="183"/>
      <c r="L120"/>
      <c r="M120" s="50"/>
    </row>
    <row r="121" spans="3:13" x14ac:dyDescent="0.3">
      <c r="C121" s="89" t="s">
        <v>235</v>
      </c>
      <c r="D121" s="89"/>
      <c r="E121" s="89"/>
      <c r="F121" s="176">
        <f>365*AVERAGE(E47:F47)/F18</f>
        <v>28.213821796344057</v>
      </c>
      <c r="G121" s="176">
        <f t="shared" ref="G121:K121" ca="1" si="95">365*AVERAGE(F47:G47)/G18</f>
        <v>34</v>
      </c>
      <c r="H121" s="176">
        <f t="shared" ca="1" si="95"/>
        <v>34</v>
      </c>
      <c r="I121" s="176">
        <f t="shared" ca="1" si="95"/>
        <v>34</v>
      </c>
      <c r="J121" s="176">
        <f t="shared" ca="1" si="95"/>
        <v>34</v>
      </c>
      <c r="K121" s="176">
        <f t="shared" ca="1" si="95"/>
        <v>34</v>
      </c>
      <c r="L121"/>
      <c r="M121" s="50"/>
    </row>
    <row r="122" spans="3:13" x14ac:dyDescent="0.3">
      <c r="C122" s="89" t="s">
        <v>236</v>
      </c>
      <c r="D122" s="89"/>
      <c r="E122" s="89"/>
      <c r="F122" s="176">
        <f>F121+365*AVERAGE(E49:F49)/F18</f>
        <v>58.178467215120762</v>
      </c>
      <c r="G122" s="176">
        <f t="shared" ref="G122:K122" ca="1" si="96">G121+365*AVERAGE(F49:G49)/G18</f>
        <v>70.352168577701349</v>
      </c>
      <c r="H122" s="176">
        <f t="shared" ca="1" si="96"/>
        <v>68.640870193925352</v>
      </c>
      <c r="I122" s="176">
        <f t="shared" ca="1" si="96"/>
        <v>68.638547705560484</v>
      </c>
      <c r="J122" s="176">
        <f t="shared" ca="1" si="96"/>
        <v>68.551619117151375</v>
      </c>
      <c r="K122" s="176">
        <f t="shared" ca="1" si="96"/>
        <v>68.460854257062238</v>
      </c>
      <c r="L122"/>
      <c r="M122" s="50"/>
    </row>
    <row r="123" spans="3:13" x14ac:dyDescent="0.3">
      <c r="C123" t="s">
        <v>237</v>
      </c>
      <c r="D123"/>
      <c r="E123" s="89"/>
      <c r="F123" s="176">
        <f>-365*AVERAGE(E48:F48)/F19</f>
        <v>9.8195333300764549</v>
      </c>
      <c r="G123" s="176">
        <f t="shared" ref="G123:K123" ca="1" si="97">-365*AVERAGE(F48:G48)/G19</f>
        <v>8.4883720930232549</v>
      </c>
      <c r="H123" s="176">
        <f t="shared" ca="1" si="97"/>
        <v>8.295454545454545</v>
      </c>
      <c r="I123" s="176">
        <f t="shared" ca="1" si="97"/>
        <v>8.1111111111111107</v>
      </c>
      <c r="J123" s="176">
        <f t="shared" ca="1" si="97"/>
        <v>7.9347826086956523</v>
      </c>
      <c r="K123" s="176">
        <f t="shared" ca="1" si="97"/>
        <v>7.7659574468085104</v>
      </c>
      <c r="L123"/>
      <c r="M123" s="50"/>
    </row>
    <row r="124" spans="3:13" x14ac:dyDescent="0.3">
      <c r="C124" s="22" t="s">
        <v>238</v>
      </c>
      <c r="D124" s="22"/>
      <c r="E124" s="89"/>
      <c r="F124" s="194">
        <f>SUM(F122:F123)</f>
        <v>67.998000545197215</v>
      </c>
      <c r="G124" s="194">
        <f t="shared" ref="G124:K124" ca="1" si="98">SUM(G122:G123)</f>
        <v>78.840540670724607</v>
      </c>
      <c r="H124" s="194">
        <f t="shared" ca="1" si="98"/>
        <v>76.936324739379899</v>
      </c>
      <c r="I124" s="194">
        <f t="shared" ca="1" si="98"/>
        <v>76.749658816671598</v>
      </c>
      <c r="J124" s="194">
        <f t="shared" ca="1" si="98"/>
        <v>76.486401725847031</v>
      </c>
      <c r="K124" s="194">
        <f t="shared" ca="1" si="98"/>
        <v>76.226811703870752</v>
      </c>
      <c r="L124"/>
      <c r="M124" s="50"/>
    </row>
    <row r="125" spans="3:13" x14ac:dyDescent="0.3">
      <c r="D125"/>
      <c r="E125" s="89"/>
      <c r="F125" s="89"/>
      <c r="G125" s="89"/>
      <c r="H125" s="89"/>
      <c r="I125" s="89"/>
      <c r="J125" s="89"/>
      <c r="K125" s="89"/>
      <c r="L125"/>
      <c r="M125" s="50"/>
    </row>
    <row r="126" spans="3:13" x14ac:dyDescent="0.3">
      <c r="C126" t="s">
        <v>239</v>
      </c>
      <c r="D126"/>
      <c r="E126" s="89"/>
      <c r="F126" s="175">
        <f>-365*AVERAGE(E55:F55)/F19</f>
        <v>111.59117833850362</v>
      </c>
      <c r="G126" s="175">
        <f t="shared" ref="G126:K126" ca="1" si="99">-365*AVERAGE(F55:G55)/G19</f>
        <v>127.10180029476456</v>
      </c>
      <c r="H126" s="175">
        <f t="shared" ca="1" si="99"/>
        <v>121.85463603555051</v>
      </c>
      <c r="I126" s="175">
        <f t="shared" ca="1" si="99"/>
        <v>121.84707264326735</v>
      </c>
      <c r="J126" s="175">
        <f t="shared" ca="1" si="99"/>
        <v>121.34963313197179</v>
      </c>
      <c r="K126" s="175">
        <f t="shared" ca="1" si="99"/>
        <v>121.03085552459693</v>
      </c>
      <c r="L126"/>
      <c r="M126" s="50"/>
    </row>
    <row r="127" spans="3:13" x14ac:dyDescent="0.3">
      <c r="C127" s="22" t="s">
        <v>240</v>
      </c>
      <c r="D127" s="22"/>
      <c r="E127" s="89"/>
      <c r="F127" s="195">
        <f>F124-F126</f>
        <v>-43.59317779330641</v>
      </c>
      <c r="G127" s="195">
        <f t="shared" ref="G127:K127" ca="1" si="100">G124-G126</f>
        <v>-48.261259624039951</v>
      </c>
      <c r="H127" s="195">
        <f t="shared" ca="1" si="100"/>
        <v>-44.918311296170614</v>
      </c>
      <c r="I127" s="195">
        <f t="shared" ca="1" si="100"/>
        <v>-45.097413826595755</v>
      </c>
      <c r="J127" s="195">
        <f t="shared" ca="1" si="100"/>
        <v>-44.863231406124754</v>
      </c>
      <c r="K127" s="195">
        <f t="shared" ca="1" si="100"/>
        <v>-44.804043820726179</v>
      </c>
      <c r="L127"/>
      <c r="M127" s="50"/>
    </row>
    <row r="128" spans="3:13" x14ac:dyDescent="0.3">
      <c r="D128"/>
      <c r="E128" s="89"/>
      <c r="F128" s="89"/>
      <c r="G128"/>
      <c r="H128"/>
      <c r="I128"/>
      <c r="J128"/>
      <c r="K128"/>
      <c r="L128"/>
      <c r="M128" s="50"/>
    </row>
    <row r="129" spans="2:15" x14ac:dyDescent="0.3">
      <c r="C129" t="s">
        <v>241</v>
      </c>
      <c r="D129"/>
      <c r="E129" s="89"/>
      <c r="F129" s="197">
        <f>F136/F137</f>
        <v>1.1238426916297297</v>
      </c>
      <c r="G129" s="197">
        <f t="shared" ref="G129:K129" ca="1" si="101">G136/G137</f>
        <v>1.1497932508280664</v>
      </c>
      <c r="H129" s="197">
        <f t="shared" ca="1" si="101"/>
        <v>1.1420663017890185</v>
      </c>
      <c r="I129" s="197">
        <f t="shared" ca="1" si="101"/>
        <v>1.1171565864831134</v>
      </c>
      <c r="J129" s="197">
        <f t="shared" ca="1" si="101"/>
        <v>1.1076738937725439</v>
      </c>
      <c r="K129" s="197">
        <f t="shared" ca="1" si="101"/>
        <v>1.0795462981397361</v>
      </c>
      <c r="L129"/>
      <c r="M129" s="50"/>
    </row>
    <row r="130" spans="2:15" x14ac:dyDescent="0.3">
      <c r="C130" t="s">
        <v>242</v>
      </c>
      <c r="D130"/>
      <c r="E130" s="89"/>
      <c r="F130" s="89"/>
      <c r="G130"/>
      <c r="H130"/>
      <c r="I130"/>
      <c r="J130"/>
      <c r="K130"/>
      <c r="L130"/>
      <c r="M130" s="50"/>
    </row>
    <row r="131" spans="2:15" x14ac:dyDescent="0.3">
      <c r="D131"/>
      <c r="E131" s="89"/>
      <c r="F131" s="89"/>
      <c r="G131"/>
      <c r="H131"/>
      <c r="I131"/>
      <c r="J131"/>
      <c r="K131"/>
      <c r="L131"/>
      <c r="M131" s="50"/>
    </row>
    <row r="132" spans="2:15" x14ac:dyDescent="0.3">
      <c r="C132" s="21" t="s">
        <v>243</v>
      </c>
      <c r="D132" s="21"/>
      <c r="E132" s="89"/>
      <c r="F132" s="89"/>
      <c r="G132"/>
      <c r="H132"/>
      <c r="I132"/>
      <c r="J132"/>
      <c r="K132"/>
      <c r="L132"/>
      <c r="M132" s="50"/>
    </row>
    <row r="133" spans="2:15" x14ac:dyDescent="0.3">
      <c r="C133" t="s">
        <v>244</v>
      </c>
      <c r="D133"/>
      <c r="E133" s="193">
        <v>194714</v>
      </c>
      <c r="F133" s="193">
        <v>170799</v>
      </c>
      <c r="G133" s="5">
        <f ca="1">F133+G92</f>
        <v>131961.45808695751</v>
      </c>
      <c r="H133" s="5">
        <f t="shared" ref="H133:K133" ca="1" si="102">G133+H92</f>
        <v>101246.1179188473</v>
      </c>
      <c r="I133" s="5">
        <f t="shared" ca="1" si="102"/>
        <v>76077.750361100043</v>
      </c>
      <c r="J133" s="5">
        <f t="shared" ca="1" si="102"/>
        <v>52500.615578160461</v>
      </c>
      <c r="K133" s="5">
        <f t="shared" ca="1" si="102"/>
        <v>35732.023810707091</v>
      </c>
      <c r="L133"/>
      <c r="M133" s="50"/>
    </row>
    <row r="134" spans="2:15" x14ac:dyDescent="0.3">
      <c r="C134" t="s">
        <v>245</v>
      </c>
      <c r="D134"/>
      <c r="E134" s="193">
        <v>2836</v>
      </c>
      <c r="F134" s="193">
        <v>2797</v>
      </c>
      <c r="G134" s="5">
        <f ca="1">F134*(1+G37)</f>
        <v>2664.2609134769104</v>
      </c>
      <c r="H134" s="5">
        <f t="shared" ref="H134:K134" ca="1" si="103">G134*(1+H37)</f>
        <v>2794.7019537544006</v>
      </c>
      <c r="I134" s="5">
        <f t="shared" ca="1" si="103"/>
        <v>2931.9320951840768</v>
      </c>
      <c r="J134" s="5">
        <f t="shared" ca="1" si="103"/>
        <v>3091.8000514106097</v>
      </c>
      <c r="K134" s="5">
        <f t="shared" ca="1" si="103"/>
        <v>3278.0771811675936</v>
      </c>
      <c r="L134"/>
      <c r="M134" s="50"/>
    </row>
    <row r="135" spans="2:15" x14ac:dyDescent="0.3">
      <c r="C135" t="s">
        <v>246</v>
      </c>
      <c r="D135"/>
      <c r="E135" s="193">
        <v>97207</v>
      </c>
      <c r="F135" s="193">
        <v>93735</v>
      </c>
      <c r="G135" s="196">
        <f>F135</f>
        <v>93735</v>
      </c>
      <c r="H135" s="196">
        <f t="shared" ref="H135:K135" si="104">G135</f>
        <v>93735</v>
      </c>
      <c r="I135" s="196">
        <f t="shared" si="104"/>
        <v>93735</v>
      </c>
      <c r="J135" s="196">
        <f t="shared" si="104"/>
        <v>93735</v>
      </c>
      <c r="K135" s="196">
        <f t="shared" si="104"/>
        <v>93735</v>
      </c>
      <c r="L135"/>
      <c r="M135" s="50"/>
    </row>
    <row r="136" spans="2:15" x14ac:dyDescent="0.3">
      <c r="C136" t="s">
        <v>247</v>
      </c>
      <c r="D136"/>
      <c r="E136" s="89">
        <f>SUM(E46:E50)-E133</f>
        <v>128645</v>
      </c>
      <c r="F136" s="89">
        <f t="shared" ref="F136:G136" si="105">SUM(F46:F50)-F133</f>
        <v>131339</v>
      </c>
      <c r="G136" s="89">
        <f t="shared" ca="1" si="105"/>
        <v>129708.09113437738</v>
      </c>
      <c r="H136" s="89">
        <f t="shared" ref="H136:K136" ca="1" si="106">SUM(H46:H50)-H133</f>
        <v>133775.17616048025</v>
      </c>
      <c r="I136" s="89">
        <f t="shared" ca="1" si="106"/>
        <v>135930.53656276703</v>
      </c>
      <c r="J136" s="89">
        <f t="shared" ca="1" si="106"/>
        <v>140870.32392828056</v>
      </c>
      <c r="K136" s="89">
        <f t="shared" ca="1" si="106"/>
        <v>144213.07223764164</v>
      </c>
      <c r="L136"/>
      <c r="M136" s="50"/>
    </row>
    <row r="137" spans="2:15" x14ac:dyDescent="0.3">
      <c r="C137" t="s">
        <v>248</v>
      </c>
      <c r="D137"/>
      <c r="E137" s="89">
        <f>SUM(E55:E59)-E135-E134</f>
        <v>100814</v>
      </c>
      <c r="F137" s="89">
        <f t="shared" ref="F137:G137" si="107">SUM(F55:F59)-F135-F134</f>
        <v>116866</v>
      </c>
      <c r="G137" s="89">
        <f t="shared" ca="1" si="107"/>
        <v>112809.92564616729</v>
      </c>
      <c r="H137" s="89">
        <f t="shared" ref="H137:K137" ca="1" si="108">SUM(H55:H59)-H135-H134</f>
        <v>117134.33445234499</v>
      </c>
      <c r="I137" s="89">
        <f t="shared" ca="1" si="108"/>
        <v>121675.45553385213</v>
      </c>
      <c r="J137" s="89">
        <f t="shared" ca="1" si="108"/>
        <v>127176.71213642172</v>
      </c>
      <c r="K137" s="89">
        <f t="shared" ca="1" si="108"/>
        <v>133586.74147670573</v>
      </c>
      <c r="L137"/>
      <c r="M137" s="50"/>
    </row>
    <row r="138" spans="2:15" x14ac:dyDescent="0.3">
      <c r="C138" s="22"/>
      <c r="D138"/>
      <c r="E138"/>
      <c r="F138"/>
      <c r="G138" s="50"/>
      <c r="H138" s="50"/>
      <c r="I138" s="50"/>
      <c r="J138" s="50"/>
      <c r="K138" s="50"/>
      <c r="L138" s="50"/>
      <c r="M138" s="50"/>
    </row>
    <row r="139" spans="2:15" ht="15" thickBot="1" x14ac:dyDescent="0.35">
      <c r="B139" t="s">
        <v>82</v>
      </c>
      <c r="C139" s="57" t="s">
        <v>99</v>
      </c>
      <c r="D139" s="59"/>
      <c r="E139" s="59"/>
      <c r="F139" s="59"/>
      <c r="G139" s="59"/>
      <c r="H139" s="59"/>
      <c r="I139" s="59"/>
      <c r="J139" s="59"/>
      <c r="K139" s="59"/>
      <c r="L139" s="46"/>
      <c r="M139" s="46"/>
    </row>
    <row r="140" spans="2:15" x14ac:dyDescent="0.3">
      <c r="C140" t="s">
        <v>69</v>
      </c>
      <c r="D140" s="34">
        <f>E140-1</f>
        <v>2016</v>
      </c>
      <c r="E140" s="34">
        <f>F140-1</f>
        <v>2017</v>
      </c>
      <c r="F140" s="34">
        <f>YEAR($D$10)</f>
        <v>2018</v>
      </c>
      <c r="G140" s="33">
        <f>F140+1</f>
        <v>2019</v>
      </c>
      <c r="H140" s="33">
        <f>G140+1</f>
        <v>2020</v>
      </c>
      <c r="I140" s="33">
        <f>H140+1</f>
        <v>2021</v>
      </c>
      <c r="J140" s="33">
        <f>I140+1</f>
        <v>2022</v>
      </c>
      <c r="K140" s="33">
        <f>J140+1</f>
        <v>2023</v>
      </c>
      <c r="L140" s="33"/>
      <c r="M140" s="33"/>
    </row>
    <row r="141" spans="2:15" x14ac:dyDescent="0.3">
      <c r="C141" s="32" t="s">
        <v>68</v>
      </c>
      <c r="D141" s="31">
        <f>EOMONTH(E141,-12)</f>
        <v>43008</v>
      </c>
      <c r="E141" s="31">
        <v>43372</v>
      </c>
      <c r="F141" s="31">
        <f>$D$10</f>
        <v>43372</v>
      </c>
      <c r="G141" s="31">
        <f>EOMONTH(F141,12)</f>
        <v>43738</v>
      </c>
      <c r="H141" s="31">
        <f>EOMONTH(G141,12)</f>
        <v>44104</v>
      </c>
      <c r="I141" s="31">
        <f>EOMONTH(H141,12)</f>
        <v>44469</v>
      </c>
      <c r="J141" s="31">
        <f>EOMONTH(I141,12)</f>
        <v>44834</v>
      </c>
      <c r="K141" s="31">
        <f>EOMONTH(J141,12)</f>
        <v>45199</v>
      </c>
      <c r="L141" s="155"/>
      <c r="M141" s="155"/>
    </row>
    <row r="142" spans="2:15" x14ac:dyDescent="0.3">
      <c r="D142"/>
      <c r="E142"/>
      <c r="F142"/>
      <c r="G142"/>
      <c r="H142"/>
      <c r="I142"/>
      <c r="J142"/>
      <c r="K142"/>
      <c r="L142"/>
      <c r="M142"/>
    </row>
    <row r="143" spans="2:15" x14ac:dyDescent="0.3">
      <c r="C143" t="s">
        <v>100</v>
      </c>
      <c r="G143" s="5">
        <f>F146</f>
        <v>41304</v>
      </c>
      <c r="H143" s="5">
        <f t="shared" ref="H143:K143" si="109">G146</f>
        <v>46656.375</v>
      </c>
      <c r="I143" s="5">
        <f t="shared" si="109"/>
        <v>52234.625</v>
      </c>
      <c r="J143" s="5">
        <f t="shared" si="109"/>
        <v>57431.5</v>
      </c>
      <c r="K143" s="5">
        <f t="shared" ca="1" si="109"/>
        <v>62442.313829055885</v>
      </c>
      <c r="O143" t="s">
        <v>94</v>
      </c>
    </row>
    <row r="144" spans="2:15" x14ac:dyDescent="0.3">
      <c r="C144" t="s">
        <v>101</v>
      </c>
      <c r="D144" s="54">
        <v>12734</v>
      </c>
      <c r="E144" s="54">
        <v>12451</v>
      </c>
      <c r="F144" s="54">
        <v>13313</v>
      </c>
      <c r="G144" s="54">
        <v>13285</v>
      </c>
      <c r="H144" s="54">
        <v>13649</v>
      </c>
      <c r="I144" s="54">
        <v>13819</v>
      </c>
      <c r="J144" s="5">
        <f ca="1">I144*(1+J37)</f>
        <v>14572.50151892101</v>
      </c>
      <c r="K144" s="5">
        <f ca="1">J144*(1+K37)</f>
        <v>15450.476714983708</v>
      </c>
      <c r="O144" t="s">
        <v>95</v>
      </c>
    </row>
    <row r="145" spans="3:17" x14ac:dyDescent="0.3">
      <c r="C145" s="69" t="s">
        <v>102</v>
      </c>
      <c r="D145" s="72">
        <v>-8300</v>
      </c>
      <c r="E145" s="72">
        <v>-8200</v>
      </c>
      <c r="F145" s="72">
        <v>-9300</v>
      </c>
      <c r="G145" s="207">
        <f>-G166</f>
        <v>-7932.625</v>
      </c>
      <c r="H145" s="207">
        <f t="shared" ref="H145:K145" si="110">-H166</f>
        <v>-8070.75</v>
      </c>
      <c r="I145" s="207">
        <f t="shared" si="110"/>
        <v>-8622.125</v>
      </c>
      <c r="J145" s="207">
        <f t="shared" ca="1" si="110"/>
        <v>-9561.6876898651262</v>
      </c>
      <c r="K145" s="207">
        <f t="shared" ca="1" si="110"/>
        <v>-10831.49727923809</v>
      </c>
      <c r="L145" s="60"/>
      <c r="M145" s="60"/>
      <c r="O145" t="s">
        <v>267</v>
      </c>
    </row>
    <row r="146" spans="3:17" x14ac:dyDescent="0.3">
      <c r="C146" s="22" t="s">
        <v>103</v>
      </c>
      <c r="E146" s="50">
        <f>E51</f>
        <v>33783</v>
      </c>
      <c r="F146" s="50">
        <f>F51</f>
        <v>41304</v>
      </c>
      <c r="G146" s="50">
        <f>SUM(G143:G145)</f>
        <v>46656.375</v>
      </c>
      <c r="H146" s="50">
        <f t="shared" ref="H146:K146" si="111">SUM(H143:H145)</f>
        <v>52234.625</v>
      </c>
      <c r="I146" s="50">
        <f t="shared" si="111"/>
        <v>57431.5</v>
      </c>
      <c r="J146" s="50">
        <f t="shared" ca="1" si="111"/>
        <v>62442.313829055885</v>
      </c>
      <c r="K146" s="50">
        <f t="shared" ca="1" si="111"/>
        <v>67061.293264801512</v>
      </c>
      <c r="L146" s="50"/>
      <c r="M146" s="50"/>
      <c r="O146" t="s">
        <v>96</v>
      </c>
    </row>
    <row r="147" spans="3:17" x14ac:dyDescent="0.3">
      <c r="O147" s="21" t="s">
        <v>97</v>
      </c>
    </row>
    <row r="148" spans="3:17" x14ac:dyDescent="0.3">
      <c r="C148" t="s">
        <v>98</v>
      </c>
      <c r="D148" s="55">
        <f>-D145/D144</f>
        <v>0.65179833516569818</v>
      </c>
      <c r="E148" s="55">
        <f t="shared" ref="E148:F148" si="112">-E145/E144</f>
        <v>0.6585816400289134</v>
      </c>
      <c r="F148" s="55">
        <f t="shared" si="112"/>
        <v>0.69856531210095396</v>
      </c>
      <c r="G148" s="55">
        <f>F148+$O$148</f>
        <v>0.71856531210095398</v>
      </c>
      <c r="H148" s="55">
        <f t="shared" ref="H148:K148" si="113">G148+$O$148</f>
        <v>0.738565312100954</v>
      </c>
      <c r="I148" s="55">
        <f t="shared" si="113"/>
        <v>0.75856531210095401</v>
      </c>
      <c r="J148" s="55">
        <f t="shared" si="113"/>
        <v>0.77856531210095403</v>
      </c>
      <c r="K148" s="55">
        <f t="shared" si="113"/>
        <v>0.79856531210095405</v>
      </c>
      <c r="L148" s="55"/>
      <c r="M148" s="55"/>
      <c r="O148" s="56">
        <v>0.02</v>
      </c>
    </row>
    <row r="149" spans="3:17" x14ac:dyDescent="0.3">
      <c r="D149" s="55"/>
      <c r="E149" s="55"/>
      <c r="F149" s="55"/>
      <c r="G149" s="55"/>
      <c r="H149" s="55"/>
      <c r="I149" s="55"/>
      <c r="J149" s="55"/>
      <c r="K149" s="55"/>
      <c r="L149" s="55"/>
      <c r="M149" s="55"/>
      <c r="O149" s="198"/>
    </row>
    <row r="150" spans="3:17" x14ac:dyDescent="0.3">
      <c r="C150" s="30" t="s">
        <v>252</v>
      </c>
      <c r="D150" s="29"/>
      <c r="E150" s="199"/>
      <c r="F150" s="199"/>
      <c r="G150" s="199"/>
      <c r="H150" s="200"/>
      <c r="I150" s="200"/>
      <c r="J150" s="200"/>
      <c r="K150" s="200"/>
      <c r="L150" s="200"/>
      <c r="M150" s="55"/>
      <c r="O150" s="198"/>
    </row>
    <row r="151" spans="3:17" x14ac:dyDescent="0.3">
      <c r="C151" t="s">
        <v>253</v>
      </c>
      <c r="D151"/>
      <c r="E151" s="98"/>
      <c r="F151" s="98"/>
      <c r="G151" s="98"/>
      <c r="H151" s="201"/>
      <c r="I151" s="201"/>
      <c r="J151" s="201"/>
      <c r="K151" s="201"/>
      <c r="L151" s="201"/>
      <c r="M151" s="55"/>
      <c r="O151" s="198"/>
    </row>
    <row r="152" spans="3:17" x14ac:dyDescent="0.3">
      <c r="C152" t="s">
        <v>254</v>
      </c>
      <c r="D152" s="98"/>
      <c r="E152" s="141">
        <v>75076</v>
      </c>
      <c r="F152" s="141">
        <v>90403</v>
      </c>
      <c r="G152" t="s">
        <v>268</v>
      </c>
      <c r="H152" s="201"/>
      <c r="I152" s="201"/>
      <c r="J152" s="201"/>
      <c r="L152" s="201"/>
      <c r="M152" s="55"/>
      <c r="O152" s="198"/>
    </row>
    <row r="153" spans="3:17" x14ac:dyDescent="0.3">
      <c r="C153" t="s">
        <v>255</v>
      </c>
      <c r="D153" s="98"/>
      <c r="E153" s="141">
        <v>13587</v>
      </c>
      <c r="F153" s="141">
        <v>16216</v>
      </c>
      <c r="G153" t="s">
        <v>268</v>
      </c>
      <c r="H153" s="201"/>
      <c r="I153" s="201"/>
      <c r="J153" s="201"/>
      <c r="L153" s="201"/>
      <c r="M153" s="55"/>
      <c r="O153" s="198"/>
    </row>
    <row r="154" spans="3:17" x14ac:dyDescent="0.3">
      <c r="C154" t="s">
        <v>256</v>
      </c>
      <c r="D154" s="98"/>
      <c r="E154" s="131">
        <f t="shared" ref="E154" si="114">-(E152-E153-E155)</f>
        <v>-41293</v>
      </c>
      <c r="F154" s="131">
        <f>-(F152-F153-F155)</f>
        <v>-49099</v>
      </c>
      <c r="G154" s="201"/>
      <c r="H154" s="201"/>
      <c r="I154" s="201"/>
      <c r="J154" s="201"/>
      <c r="L154" s="201"/>
      <c r="M154" s="55"/>
      <c r="O154" s="198"/>
    </row>
    <row r="155" spans="3:17" x14ac:dyDescent="0.3">
      <c r="C155" t="s">
        <v>257</v>
      </c>
      <c r="D155" s="98"/>
      <c r="E155" s="131">
        <f t="shared" ref="E155" si="115">E51-E153</f>
        <v>20196</v>
      </c>
      <c r="F155" s="131">
        <f>F51-F153</f>
        <v>25088</v>
      </c>
      <c r="G155" s="201"/>
      <c r="H155" s="201"/>
      <c r="I155" s="201"/>
      <c r="J155" s="201"/>
      <c r="L155" s="201"/>
      <c r="M155" s="55"/>
      <c r="O155" s="198"/>
    </row>
    <row r="156" spans="3:17" x14ac:dyDescent="0.3">
      <c r="D156" s="98"/>
      <c r="E156" s="98"/>
      <c r="F156" s="98"/>
      <c r="G156" s="201"/>
      <c r="H156" s="201"/>
      <c r="I156" s="201"/>
      <c r="J156" s="201"/>
      <c r="L156" s="201"/>
      <c r="M156" s="55"/>
      <c r="O156" s="198"/>
    </row>
    <row r="157" spans="3:17" x14ac:dyDescent="0.3">
      <c r="C157" t="s">
        <v>258</v>
      </c>
      <c r="D157" s="134">
        <f>IF(D158,D158,-ROUND((F152-F153)/F145,0))</f>
        <v>8</v>
      </c>
      <c r="E157" s="98"/>
      <c r="F157" s="98"/>
      <c r="G157" s="201"/>
      <c r="H157" s="201"/>
      <c r="I157" s="201"/>
      <c r="J157" s="201"/>
      <c r="L157" s="201"/>
      <c r="M157" s="55"/>
      <c r="O157" s="198"/>
      <c r="Q157" s="22"/>
    </row>
    <row r="158" spans="3:17" x14ac:dyDescent="0.3">
      <c r="C158" t="s">
        <v>259</v>
      </c>
      <c r="D158" s="202"/>
      <c r="E158" s="98"/>
      <c r="F158" s="98"/>
      <c r="G158" s="201"/>
      <c r="H158" s="201"/>
      <c r="I158" s="201"/>
      <c r="J158" s="201"/>
      <c r="L158" s="201"/>
      <c r="M158" s="55"/>
      <c r="O158" s="198"/>
    </row>
    <row r="159" spans="3:17" x14ac:dyDescent="0.3">
      <c r="D159" s="98"/>
      <c r="E159" s="98"/>
      <c r="F159" s="98"/>
      <c r="G159" s="201"/>
      <c r="H159" s="201"/>
      <c r="I159" s="201"/>
      <c r="J159" s="201"/>
      <c r="L159" s="201"/>
      <c r="M159" s="55"/>
      <c r="O159" s="198"/>
    </row>
    <row r="160" spans="3:17" x14ac:dyDescent="0.3">
      <c r="C160" t="s">
        <v>260</v>
      </c>
      <c r="D160" s="98"/>
      <c r="E160" s="208" t="s">
        <v>269</v>
      </c>
      <c r="F160" s="98"/>
      <c r="G160" s="103">
        <f>DDB($F$155,0,$D$157,G140-$F$140)</f>
        <v>6272</v>
      </c>
      <c r="H160" s="103">
        <f t="shared" ref="H160:K160" si="116">DDB($F$155,0,$D$157,H140-$F$140)</f>
        <v>4704</v>
      </c>
      <c r="I160" s="103">
        <f t="shared" si="116"/>
        <v>3528</v>
      </c>
      <c r="J160" s="103">
        <f t="shared" si="116"/>
        <v>2646</v>
      </c>
      <c r="K160" s="103">
        <f t="shared" si="116"/>
        <v>1984.5</v>
      </c>
      <c r="L160" s="205"/>
      <c r="M160" s="55"/>
      <c r="O160" s="198"/>
    </row>
    <row r="161" spans="2:15" x14ac:dyDescent="0.3">
      <c r="C161" t="s">
        <v>261</v>
      </c>
      <c r="D161" s="98"/>
      <c r="E161" s="203">
        <v>1</v>
      </c>
      <c r="F161" s="98"/>
      <c r="G161" s="103">
        <f>$E$161*$G$144/$D$157</f>
        <v>1660.625</v>
      </c>
      <c r="H161" s="103">
        <f t="shared" ref="H161:K161" si="117">$G$144/$D$157</f>
        <v>1660.625</v>
      </c>
      <c r="I161" s="103">
        <f t="shared" si="117"/>
        <v>1660.625</v>
      </c>
      <c r="J161" s="103">
        <f t="shared" si="117"/>
        <v>1660.625</v>
      </c>
      <c r="K161" s="103">
        <f t="shared" si="117"/>
        <v>1660.625</v>
      </c>
      <c r="L161" s="205"/>
      <c r="M161"/>
      <c r="O161" s="198"/>
    </row>
    <row r="162" spans="2:15" x14ac:dyDescent="0.3">
      <c r="C162" t="s">
        <v>262</v>
      </c>
      <c r="D162" s="98"/>
      <c r="E162"/>
      <c r="F162" s="98"/>
      <c r="G162" s="103"/>
      <c r="H162" s="103">
        <f>$E$161*$H$144/$D$157</f>
        <v>1706.125</v>
      </c>
      <c r="I162" s="103">
        <f>$H$144/$D$157</f>
        <v>1706.125</v>
      </c>
      <c r="J162" s="103">
        <f t="shared" ref="J162:K162" si="118">$H$144/$D$157</f>
        <v>1706.125</v>
      </c>
      <c r="K162" s="103">
        <f t="shared" si="118"/>
        <v>1706.125</v>
      </c>
      <c r="L162" s="205"/>
      <c r="M162" s="55"/>
      <c r="O162" s="198"/>
    </row>
    <row r="163" spans="2:15" x14ac:dyDescent="0.3">
      <c r="C163" t="s">
        <v>263</v>
      </c>
      <c r="D163" s="98"/>
      <c r="E163" s="98"/>
      <c r="F163" s="98"/>
      <c r="G163" s="103"/>
      <c r="H163" s="103"/>
      <c r="I163" s="103">
        <f>$E$161*$I$144/$D$157</f>
        <v>1727.375</v>
      </c>
      <c r="J163" s="103">
        <f>$I$144/$D$157</f>
        <v>1727.375</v>
      </c>
      <c r="K163" s="103">
        <f t="shared" ref="K163" si="119">$I$144/$D$157</f>
        <v>1727.375</v>
      </c>
      <c r="L163" s="205"/>
      <c r="M163" s="55"/>
      <c r="O163" s="198"/>
    </row>
    <row r="164" spans="2:15" x14ac:dyDescent="0.3">
      <c r="C164" t="s">
        <v>264</v>
      </c>
      <c r="D164" s="98"/>
      <c r="E164" s="98"/>
      <c r="F164" s="98"/>
      <c r="G164" s="103"/>
      <c r="H164" s="103"/>
      <c r="I164" s="103"/>
      <c r="J164" s="103">
        <f ca="1">$E$161*$J$144/$D$157</f>
        <v>1821.5626898651262</v>
      </c>
      <c r="K164" s="103">
        <f ca="1">$J$144/$D$157</f>
        <v>1821.5626898651262</v>
      </c>
      <c r="L164" s="205"/>
      <c r="M164" s="55"/>
      <c r="O164" s="198"/>
    </row>
    <row r="165" spans="2:15" x14ac:dyDescent="0.3">
      <c r="C165" t="s">
        <v>265</v>
      </c>
      <c r="D165" s="98"/>
      <c r="E165" s="98"/>
      <c r="F165" s="98"/>
      <c r="G165" s="103"/>
      <c r="H165" s="103"/>
      <c r="I165" s="103"/>
      <c r="J165" s="103"/>
      <c r="K165" s="103">
        <f ca="1">$E$161*$K$144/$D$157</f>
        <v>1931.3095893729635</v>
      </c>
      <c r="L165" s="205"/>
      <c r="M165" s="55"/>
      <c r="O165" s="198"/>
    </row>
    <row r="166" spans="2:15" x14ac:dyDescent="0.3">
      <c r="C166" s="22" t="s">
        <v>266</v>
      </c>
      <c r="D166" s="98"/>
      <c r="E166" s="98"/>
      <c r="F166" s="98"/>
      <c r="G166" s="204">
        <f t="shared" ref="G166:J166" si="120">SUM(G160:G165)</f>
        <v>7932.625</v>
      </c>
      <c r="H166" s="204">
        <f t="shared" si="120"/>
        <v>8070.75</v>
      </c>
      <c r="I166" s="204">
        <f t="shared" si="120"/>
        <v>8622.125</v>
      </c>
      <c r="J166" s="204">
        <f t="shared" ca="1" si="120"/>
        <v>9561.6876898651262</v>
      </c>
      <c r="K166" s="204">
        <f ca="1">SUM(K160:K165)</f>
        <v>10831.49727923809</v>
      </c>
      <c r="L166" s="206"/>
      <c r="M166" s="55"/>
      <c r="O166" s="198"/>
    </row>
    <row r="168" spans="2:15" ht="15" thickBot="1" x14ac:dyDescent="0.35">
      <c r="B168" t="s">
        <v>82</v>
      </c>
      <c r="C168" s="57" t="s">
        <v>104</v>
      </c>
      <c r="D168" s="58"/>
      <c r="E168" s="58"/>
      <c r="F168" s="58"/>
      <c r="G168" s="58"/>
      <c r="H168" s="58"/>
      <c r="I168" s="58"/>
      <c r="J168" s="58"/>
      <c r="K168" s="58"/>
      <c r="L168" s="60"/>
      <c r="M168" s="60"/>
    </row>
    <row r="169" spans="2:15" x14ac:dyDescent="0.3">
      <c r="C169" t="s">
        <v>105</v>
      </c>
      <c r="D169" s="5">
        <f>D31+D145</f>
        <v>2205</v>
      </c>
      <c r="E169" s="5">
        <f>E31+E145</f>
        <v>1957</v>
      </c>
      <c r="F169" s="5">
        <f>F31+F145</f>
        <v>1603</v>
      </c>
      <c r="G169" s="5">
        <f ca="1">G18*G170</f>
        <v>1526.9253644274177</v>
      </c>
      <c r="H169" s="5">
        <f ca="1">H18*H170</f>
        <v>1601.6829574073306</v>
      </c>
      <c r="I169" s="5">
        <f ca="1">I18*I170</f>
        <v>1680.3314796496511</v>
      </c>
      <c r="J169" s="5">
        <f ca="1">J18*J170</f>
        <v>1771.9540516307495</v>
      </c>
      <c r="K169" s="5">
        <f ca="1">K18*K170</f>
        <v>1878.7120920313373</v>
      </c>
      <c r="O169" t="s">
        <v>108</v>
      </c>
    </row>
    <row r="170" spans="2:15" x14ac:dyDescent="0.3">
      <c r="C170" s="69" t="s">
        <v>106</v>
      </c>
      <c r="D170" s="73">
        <f>D169/D18</f>
        <v>1.0225423044996499E-2</v>
      </c>
      <c r="E170" s="73">
        <f>E169/E18</f>
        <v>8.537128000209393E-3</v>
      </c>
      <c r="F170" s="73">
        <f>F169/F18</f>
        <v>6.0355051864681188E-3</v>
      </c>
      <c r="G170" s="73">
        <f>F170</f>
        <v>6.0355051864681188E-3</v>
      </c>
      <c r="H170" s="73">
        <f t="shared" ref="H170:K170" si="121">G170</f>
        <v>6.0355051864681188E-3</v>
      </c>
      <c r="I170" s="73">
        <f t="shared" si="121"/>
        <v>6.0355051864681188E-3</v>
      </c>
      <c r="J170" s="73">
        <f t="shared" si="121"/>
        <v>6.0355051864681188E-3</v>
      </c>
      <c r="K170" s="73">
        <f t="shared" si="121"/>
        <v>6.0355051864681188E-3</v>
      </c>
      <c r="L170" s="159"/>
      <c r="M170" s="159"/>
      <c r="O170" t="s">
        <v>109</v>
      </c>
    </row>
    <row r="171" spans="2:15" x14ac:dyDescent="0.3">
      <c r="C171" s="22" t="s">
        <v>107</v>
      </c>
      <c r="D171" s="50">
        <f t="shared" ref="D171:K171" si="122">+D169-D145</f>
        <v>10505</v>
      </c>
      <c r="E171" s="50">
        <f t="shared" si="122"/>
        <v>10157</v>
      </c>
      <c r="F171" s="50">
        <f t="shared" si="122"/>
        <v>10903</v>
      </c>
      <c r="G171" s="50">
        <f t="shared" ca="1" si="122"/>
        <v>9459.5503644274177</v>
      </c>
      <c r="H171" s="50">
        <f t="shared" ca="1" si="122"/>
        <v>9672.4329574073308</v>
      </c>
      <c r="I171" s="50">
        <f t="shared" ca="1" si="122"/>
        <v>10302.456479649651</v>
      </c>
      <c r="J171" s="50">
        <f t="shared" ca="1" si="122"/>
        <v>11333.641741495876</v>
      </c>
      <c r="K171" s="50">
        <f t="shared" ca="1" si="122"/>
        <v>12710.209371269428</v>
      </c>
      <c r="L171" s="50"/>
      <c r="M171" s="50"/>
      <c r="O171" t="s">
        <v>110</v>
      </c>
    </row>
    <row r="173" spans="2:15" ht="15" thickBot="1" x14ac:dyDescent="0.35">
      <c r="B173" t="s">
        <v>82</v>
      </c>
      <c r="C173" s="57" t="s">
        <v>111</v>
      </c>
      <c r="D173" s="58"/>
      <c r="E173" s="58"/>
      <c r="F173" s="58"/>
      <c r="G173" s="58"/>
      <c r="H173" s="58"/>
      <c r="I173" s="58"/>
      <c r="J173" s="58"/>
      <c r="K173" s="58"/>
      <c r="L173" s="60"/>
      <c r="M173" s="60"/>
    </row>
    <row r="174" spans="2:15" x14ac:dyDescent="0.3">
      <c r="C174" t="s">
        <v>112</v>
      </c>
      <c r="G174" s="5">
        <f>F177</f>
        <v>22283</v>
      </c>
      <c r="H174" s="5">
        <f t="shared" ref="H174:K174" ca="1" si="123">G177</f>
        <v>21225.500870577758</v>
      </c>
      <c r="I174" s="5">
        <f t="shared" ca="1" si="123"/>
        <v>22264.692039867467</v>
      </c>
      <c r="J174" s="5">
        <f t="shared" ca="1" si="123"/>
        <v>23357.970281368172</v>
      </c>
      <c r="K174" s="5">
        <f t="shared" ca="1" si="123"/>
        <v>24631.59833592514</v>
      </c>
      <c r="O174" t="s">
        <v>94</v>
      </c>
    </row>
    <row r="175" spans="2:15" x14ac:dyDescent="0.3">
      <c r="C175" t="s">
        <v>113</v>
      </c>
      <c r="D175" s="55"/>
      <c r="E175" s="55"/>
      <c r="F175" s="55"/>
      <c r="G175" s="5">
        <f ca="1">-G169</f>
        <v>-1526.9253644274177</v>
      </c>
      <c r="H175" s="5">
        <f t="shared" ref="H175:K175" ca="1" si="124">-H169</f>
        <v>-1601.6829574073306</v>
      </c>
      <c r="I175" s="5">
        <f t="shared" ca="1" si="124"/>
        <v>-1680.3314796496511</v>
      </c>
      <c r="J175" s="5">
        <f t="shared" ca="1" si="124"/>
        <v>-1771.9540516307495</v>
      </c>
      <c r="K175" s="5">
        <f t="shared" ca="1" si="124"/>
        <v>-1878.7120920313373</v>
      </c>
      <c r="O175" t="s">
        <v>116</v>
      </c>
    </row>
    <row r="176" spans="2:15" x14ac:dyDescent="0.3">
      <c r="C176" s="69" t="s">
        <v>114</v>
      </c>
      <c r="D176" s="73"/>
      <c r="E176" s="73"/>
      <c r="F176" s="73"/>
      <c r="G176" s="66">
        <f ca="1">G177-G174-G175</f>
        <v>469.42623500517584</v>
      </c>
      <c r="H176" s="66">
        <f t="shared" ref="H176:K176" ca="1" si="125">H177-H174-H175</f>
        <v>2640.8741266970392</v>
      </c>
      <c r="I176" s="66">
        <f t="shared" ca="1" si="125"/>
        <v>2773.609721150357</v>
      </c>
      <c r="J176" s="66">
        <f t="shared" ca="1" si="125"/>
        <v>3045.5821061877177</v>
      </c>
      <c r="K176" s="66">
        <f t="shared" ca="1" si="125"/>
        <v>3362.7354321725124</v>
      </c>
      <c r="L176" s="60"/>
      <c r="M176" s="60"/>
      <c r="O176" t="s">
        <v>117</v>
      </c>
    </row>
    <row r="177" spans="2:15" x14ac:dyDescent="0.3">
      <c r="C177" s="22" t="s">
        <v>115</v>
      </c>
      <c r="E177" s="50">
        <f t="shared" ref="E177:K177" si="126">E52</f>
        <v>18177</v>
      </c>
      <c r="F177" s="50">
        <f t="shared" si="126"/>
        <v>22283</v>
      </c>
      <c r="G177" s="50">
        <f t="shared" ca="1" si="126"/>
        <v>21225.500870577758</v>
      </c>
      <c r="H177" s="50">
        <f t="shared" ca="1" si="126"/>
        <v>22264.692039867467</v>
      </c>
      <c r="I177" s="50">
        <f t="shared" ca="1" si="126"/>
        <v>23357.970281368172</v>
      </c>
      <c r="J177" s="50">
        <f t="shared" ca="1" si="126"/>
        <v>24631.59833592514</v>
      </c>
      <c r="K177" s="50">
        <f t="shared" ca="1" si="126"/>
        <v>26115.621676066316</v>
      </c>
      <c r="L177" s="50"/>
      <c r="M177" s="50"/>
      <c r="O177" t="s">
        <v>118</v>
      </c>
    </row>
    <row r="179" spans="2:15" ht="15" thickBot="1" x14ac:dyDescent="0.35">
      <c r="B179" t="s">
        <v>82</v>
      </c>
      <c r="C179" s="57" t="s">
        <v>119</v>
      </c>
      <c r="D179" s="58"/>
      <c r="E179" s="58"/>
      <c r="F179" s="58"/>
      <c r="G179" s="58"/>
      <c r="H179" s="58"/>
      <c r="I179" s="58"/>
      <c r="J179" s="58"/>
      <c r="K179" s="58"/>
      <c r="L179" s="60"/>
      <c r="M179" s="60"/>
    </row>
    <row r="180" spans="2:15" x14ac:dyDescent="0.3">
      <c r="C180" t="s">
        <v>112</v>
      </c>
      <c r="G180" s="5">
        <f>F184</f>
        <v>70400</v>
      </c>
      <c r="H180" s="5">
        <f t="shared" ref="H180:K180" ca="1" si="127">G184</f>
        <v>35472.79972323963</v>
      </c>
      <c r="I180" s="5">
        <f t="shared" ca="1" si="127"/>
        <v>3544.5064322110702</v>
      </c>
      <c r="J180" s="5">
        <f t="shared" ca="1" si="127"/>
        <v>-25670.990867003638</v>
      </c>
      <c r="K180" s="5">
        <f t="shared" ca="1" si="127"/>
        <v>-52170.200271655951</v>
      </c>
      <c r="O180" t="s">
        <v>94</v>
      </c>
    </row>
    <row r="181" spans="2:15" x14ac:dyDescent="0.3">
      <c r="C181" t="s">
        <v>121</v>
      </c>
      <c r="D181" s="5">
        <f t="shared" ref="D181:K181" si="128">D29</f>
        <v>45687</v>
      </c>
      <c r="E181" s="5">
        <f t="shared" si="128"/>
        <v>48351</v>
      </c>
      <c r="F181" s="5">
        <f t="shared" si="128"/>
        <v>59531</v>
      </c>
      <c r="G181" s="5">
        <f t="shared" ca="1" si="128"/>
        <v>51863.79972323963</v>
      </c>
      <c r="H181" s="5">
        <f t="shared" ca="1" si="128"/>
        <v>54862.70670896965</v>
      </c>
      <c r="I181" s="5">
        <f t="shared" ca="1" si="128"/>
        <v>57575.502700759607</v>
      </c>
      <c r="J181" s="5">
        <f t="shared" ca="1" si="128"/>
        <v>60291.790594967519</v>
      </c>
      <c r="K181" s="5">
        <f t="shared" ca="1" si="128"/>
        <v>63604.447459889569</v>
      </c>
      <c r="O181" t="s">
        <v>123</v>
      </c>
    </row>
    <row r="182" spans="2:15" x14ac:dyDescent="0.3">
      <c r="C182" t="s">
        <v>120</v>
      </c>
      <c r="D182" s="45">
        <v>-12188</v>
      </c>
      <c r="E182" s="45">
        <v>-12803</v>
      </c>
      <c r="F182" s="45">
        <v>-13735</v>
      </c>
      <c r="G182" s="5">
        <f>F182</f>
        <v>-13735</v>
      </c>
      <c r="H182" s="5">
        <f t="shared" ref="H182:K182" si="129">G182</f>
        <v>-13735</v>
      </c>
      <c r="I182" s="5">
        <f t="shared" si="129"/>
        <v>-13735</v>
      </c>
      <c r="J182" s="5">
        <f t="shared" si="129"/>
        <v>-13735</v>
      </c>
      <c r="K182" s="5">
        <f t="shared" si="129"/>
        <v>-13735</v>
      </c>
      <c r="O182" t="s">
        <v>124</v>
      </c>
    </row>
    <row r="183" spans="2:15" x14ac:dyDescent="0.3">
      <c r="C183" s="76" t="s">
        <v>122</v>
      </c>
      <c r="D183" s="72">
        <v>-29000</v>
      </c>
      <c r="E183" s="72">
        <v>-33001</v>
      </c>
      <c r="F183" s="72">
        <v>-73056</v>
      </c>
      <c r="G183" s="66">
        <f>F183</f>
        <v>-73056</v>
      </c>
      <c r="H183" s="66">
        <f t="shared" ref="H183:K183" si="130">G183</f>
        <v>-73056</v>
      </c>
      <c r="I183" s="66">
        <f t="shared" si="130"/>
        <v>-73056</v>
      </c>
      <c r="J183" s="66">
        <f t="shared" si="130"/>
        <v>-73056</v>
      </c>
      <c r="K183" s="66">
        <f t="shared" si="130"/>
        <v>-73056</v>
      </c>
      <c r="L183" s="60"/>
      <c r="M183" s="60"/>
      <c r="O183" t="s">
        <v>125</v>
      </c>
    </row>
    <row r="184" spans="2:15" x14ac:dyDescent="0.3">
      <c r="C184" s="74" t="s">
        <v>115</v>
      </c>
      <c r="D184" s="75"/>
      <c r="E184" s="75">
        <f>E64</f>
        <v>98330</v>
      </c>
      <c r="F184" s="75">
        <f>F64</f>
        <v>70400</v>
      </c>
      <c r="G184" s="75">
        <f ca="1">SUM(G180:G183)</f>
        <v>35472.79972323963</v>
      </c>
      <c r="H184" s="75">
        <f ca="1">SUM(H180:H183)</f>
        <v>3544.5064322092803</v>
      </c>
      <c r="I184" s="75">
        <f ca="1">SUM(I180:I183)</f>
        <v>-25670.990867029323</v>
      </c>
      <c r="J184" s="75">
        <f ca="1">SUM(J180:J183)</f>
        <v>-52170.20027203612</v>
      </c>
      <c r="K184" s="75">
        <f ca="1">SUM(K180:K183)</f>
        <v>-75356.752811766375</v>
      </c>
      <c r="L184" s="75"/>
      <c r="M184" s="75"/>
      <c r="O184" t="s">
        <v>126</v>
      </c>
    </row>
    <row r="185" spans="2:15" x14ac:dyDescent="0.3">
      <c r="F185" s="61"/>
      <c r="G185" s="60"/>
      <c r="H185" s="60"/>
      <c r="I185" s="60"/>
      <c r="J185" s="60"/>
      <c r="K185" s="60"/>
      <c r="L185" s="60"/>
      <c r="M185" s="60"/>
    </row>
    <row r="186" spans="2:15" ht="15" thickBot="1" x14ac:dyDescent="0.35">
      <c r="B186" t="s">
        <v>82</v>
      </c>
      <c r="C186" s="57" t="s">
        <v>127</v>
      </c>
      <c r="D186" s="58"/>
      <c r="E186" s="58"/>
      <c r="F186" s="58"/>
      <c r="G186" s="58"/>
      <c r="H186" s="58"/>
      <c r="I186" s="58"/>
      <c r="J186" s="58"/>
      <c r="K186" s="58"/>
      <c r="L186" s="60"/>
      <c r="M186" s="60"/>
    </row>
    <row r="187" spans="2:15" x14ac:dyDescent="0.3">
      <c r="C187" t="s">
        <v>69</v>
      </c>
      <c r="D187" s="34">
        <f>E187-1</f>
        <v>2016</v>
      </c>
      <c r="E187" s="34">
        <f>F187-1</f>
        <v>2017</v>
      </c>
      <c r="F187" s="34">
        <f>YEAR($D$10)</f>
        <v>2018</v>
      </c>
      <c r="G187" s="33">
        <f>F187+1</f>
        <v>2019</v>
      </c>
      <c r="H187" s="33">
        <f>G187+1</f>
        <v>2020</v>
      </c>
      <c r="I187" s="33">
        <f>H187+1</f>
        <v>2021</v>
      </c>
      <c r="J187" s="33">
        <f>I187+1</f>
        <v>2022</v>
      </c>
      <c r="K187" s="33">
        <f>J187+1</f>
        <v>2023</v>
      </c>
      <c r="L187" s="33"/>
      <c r="M187" s="33"/>
    </row>
    <row r="188" spans="2:15" x14ac:dyDescent="0.3">
      <c r="C188" s="32" t="s">
        <v>68</v>
      </c>
      <c r="D188" s="31">
        <f>EOMONTH(E188,-12)</f>
        <v>43008</v>
      </c>
      <c r="E188" s="31">
        <v>43372</v>
      </c>
      <c r="F188" s="31">
        <f>$D$10</f>
        <v>43372</v>
      </c>
      <c r="G188" s="31">
        <f>EOMONTH(F188,12)</f>
        <v>43738</v>
      </c>
      <c r="H188" s="31">
        <f>EOMONTH(G188,12)</f>
        <v>44104</v>
      </c>
      <c r="I188" s="31">
        <f>EOMONTH(H188,12)</f>
        <v>44469</v>
      </c>
      <c r="J188" s="31">
        <f>EOMONTH(I188,12)</f>
        <v>44834</v>
      </c>
      <c r="K188" s="31">
        <f>EOMONTH(J188,12)</f>
        <v>45199</v>
      </c>
      <c r="L188" s="155"/>
      <c r="M188" s="155"/>
    </row>
    <row r="189" spans="2:15" x14ac:dyDescent="0.3">
      <c r="D189"/>
      <c r="E189"/>
      <c r="F189"/>
      <c r="G189"/>
      <c r="H189"/>
      <c r="I189"/>
      <c r="J189"/>
      <c r="K189"/>
      <c r="L189"/>
      <c r="M189"/>
    </row>
    <row r="190" spans="2:15" x14ac:dyDescent="0.3">
      <c r="C190" s="21" t="s">
        <v>128</v>
      </c>
      <c r="D190"/>
      <c r="E190"/>
      <c r="F190"/>
      <c r="G190"/>
      <c r="H190"/>
      <c r="I190"/>
      <c r="J190"/>
      <c r="K190"/>
      <c r="L190"/>
      <c r="M190"/>
    </row>
    <row r="191" spans="2:15" x14ac:dyDescent="0.3">
      <c r="C191" t="s">
        <v>129</v>
      </c>
      <c r="D191"/>
      <c r="E191"/>
      <c r="F191"/>
      <c r="G191" s="2">
        <f>F46</f>
        <v>237100</v>
      </c>
      <c r="H191" s="2">
        <f ca="1">G46</f>
        <v>198262.45808695751</v>
      </c>
      <c r="I191" s="2">
        <f ca="1">H46</f>
        <v>167547.1179188473</v>
      </c>
      <c r="J191" s="2">
        <f ca="1">I46</f>
        <v>142378.75036110004</v>
      </c>
      <c r="K191" s="2">
        <f ca="1">J46</f>
        <v>118801.61557816046</v>
      </c>
      <c r="L191" s="2"/>
      <c r="M191" s="2"/>
      <c r="O191" t="s">
        <v>138</v>
      </c>
    </row>
    <row r="192" spans="2:15" x14ac:dyDescent="0.3">
      <c r="C192" t="s">
        <v>130</v>
      </c>
      <c r="F192" s="60"/>
      <c r="G192" s="77">
        <v>-50000</v>
      </c>
      <c r="H192" s="77">
        <v>-50000</v>
      </c>
      <c r="I192" s="77">
        <v>-50000</v>
      </c>
      <c r="J192" s="77">
        <v>-50000</v>
      </c>
      <c r="K192" s="77">
        <v>-50000</v>
      </c>
      <c r="L192" s="77"/>
      <c r="M192" s="77"/>
      <c r="O192" t="s">
        <v>139</v>
      </c>
    </row>
    <row r="193" spans="2:15" x14ac:dyDescent="0.3">
      <c r="C193" s="69" t="s">
        <v>131</v>
      </c>
      <c r="D193" s="66"/>
      <c r="E193" s="66"/>
      <c r="F193" s="66"/>
      <c r="G193" s="66">
        <f ca="1">G81+G84+G86+G88+G89</f>
        <v>-38873.541913042493</v>
      </c>
      <c r="H193" s="66">
        <f ca="1">H81+H84+H86+H88+H89</f>
        <v>-30715.340168110211</v>
      </c>
      <c r="I193" s="66">
        <f ca="1">I81+I84+I86+I88+I89</f>
        <v>-25168.36755774726</v>
      </c>
      <c r="J193" s="66">
        <f ca="1">J81+J84+J86+J88+J89</f>
        <v>-23577.134782939582</v>
      </c>
      <c r="K193" s="66">
        <f ca="1">K81+K84+K86+K88+K89</f>
        <v>-16768.59176745337</v>
      </c>
      <c r="L193" s="60"/>
      <c r="M193" s="60"/>
      <c r="O193" t="s">
        <v>140</v>
      </c>
    </row>
    <row r="194" spans="2:15" x14ac:dyDescent="0.3">
      <c r="C194" s="22" t="s">
        <v>132</v>
      </c>
      <c r="F194" s="60"/>
      <c r="G194" s="75">
        <f ca="1">SUM(G191:G193)</f>
        <v>148226.45808695751</v>
      </c>
      <c r="H194" s="75">
        <f t="shared" ref="H194:K194" ca="1" si="131">SUM(H191:H193)</f>
        <v>117547.1179188473</v>
      </c>
      <c r="I194" s="75">
        <f t="shared" ca="1" si="131"/>
        <v>92378.750361100043</v>
      </c>
      <c r="J194" s="75">
        <f t="shared" ca="1" si="131"/>
        <v>68801.615578160461</v>
      </c>
      <c r="K194" s="75">
        <f t="shared" ca="1" si="131"/>
        <v>52033.023810707091</v>
      </c>
      <c r="L194" s="75"/>
      <c r="M194" s="75"/>
    </row>
    <row r="195" spans="2:15" x14ac:dyDescent="0.3">
      <c r="F195" s="60"/>
      <c r="G195" s="60"/>
      <c r="H195" s="60"/>
      <c r="I195" s="60"/>
      <c r="J195" s="60"/>
      <c r="K195" s="60"/>
      <c r="L195" s="60"/>
      <c r="M195" s="60"/>
    </row>
    <row r="196" spans="2:15" x14ac:dyDescent="0.3">
      <c r="C196" s="22" t="s">
        <v>133</v>
      </c>
    </row>
    <row r="197" spans="2:15" x14ac:dyDescent="0.3">
      <c r="C197" t="s">
        <v>134</v>
      </c>
      <c r="G197" s="5">
        <f>F200</f>
        <v>11964</v>
      </c>
      <c r="H197" s="5">
        <f t="shared" ref="H197:K197" ca="1" si="132">G200</f>
        <v>12000</v>
      </c>
      <c r="I197" s="5">
        <f t="shared" ca="1" si="132"/>
        <v>12000</v>
      </c>
      <c r="J197" s="5">
        <f t="shared" ca="1" si="132"/>
        <v>12000</v>
      </c>
      <c r="K197" s="5">
        <f t="shared" ca="1" si="132"/>
        <v>12000</v>
      </c>
      <c r="O197" t="s">
        <v>141</v>
      </c>
    </row>
    <row r="198" spans="2:15" x14ac:dyDescent="0.3">
      <c r="C198" s="64" t="s">
        <v>135</v>
      </c>
      <c r="G198" s="5">
        <f ca="1">-MIN(G197,G194)</f>
        <v>-11964</v>
      </c>
      <c r="H198" s="5">
        <f t="shared" ref="H198:K198" ca="1" si="133">-MIN(H197,H194)</f>
        <v>-12000</v>
      </c>
      <c r="I198" s="5">
        <f t="shared" ca="1" si="133"/>
        <v>-12000</v>
      </c>
      <c r="J198" s="5">
        <f t="shared" ca="1" si="133"/>
        <v>-12000</v>
      </c>
      <c r="K198" s="5">
        <f t="shared" ca="1" si="133"/>
        <v>-12000</v>
      </c>
      <c r="O198" t="s">
        <v>142</v>
      </c>
    </row>
    <row r="199" spans="2:15" x14ac:dyDescent="0.3">
      <c r="C199" s="65" t="s">
        <v>136</v>
      </c>
      <c r="D199" s="60"/>
      <c r="E199" s="60"/>
      <c r="F199" s="60"/>
      <c r="G199" s="77">
        <v>12000</v>
      </c>
      <c r="H199" s="77">
        <v>12000</v>
      </c>
      <c r="I199" s="77">
        <v>12000</v>
      </c>
      <c r="J199" s="77">
        <v>12000</v>
      </c>
      <c r="K199" s="77">
        <v>12000</v>
      </c>
      <c r="L199" s="77"/>
      <c r="M199" s="77"/>
      <c r="O199" t="s">
        <v>139</v>
      </c>
    </row>
    <row r="200" spans="2:15" x14ac:dyDescent="0.3">
      <c r="C200" s="67" t="s">
        <v>103</v>
      </c>
      <c r="D200" s="68"/>
      <c r="E200" s="78">
        <f>E58</f>
        <v>11977</v>
      </c>
      <c r="F200" s="78">
        <f>F58</f>
        <v>11964</v>
      </c>
      <c r="G200" s="78">
        <f ca="1">SUM(G197:G199)</f>
        <v>12000</v>
      </c>
      <c r="H200" s="78">
        <f t="shared" ref="H200:K200" ca="1" si="134">SUM(H197:H199)</f>
        <v>12000</v>
      </c>
      <c r="I200" s="78">
        <f t="shared" ca="1" si="134"/>
        <v>12000</v>
      </c>
      <c r="J200" s="78">
        <f t="shared" ca="1" si="134"/>
        <v>12000</v>
      </c>
      <c r="K200" s="78">
        <f t="shared" ca="1" si="134"/>
        <v>12000</v>
      </c>
      <c r="L200" s="75"/>
      <c r="M200" s="75"/>
    </row>
    <row r="201" spans="2:15" x14ac:dyDescent="0.3">
      <c r="C201" s="70" t="s">
        <v>137</v>
      </c>
      <c r="D201" s="66"/>
      <c r="E201" s="66"/>
      <c r="F201" s="66"/>
      <c r="G201" s="66"/>
      <c r="H201" s="66"/>
      <c r="I201" s="66"/>
      <c r="J201" s="66"/>
      <c r="K201" s="66"/>
      <c r="L201" s="60"/>
      <c r="M201" s="60"/>
    </row>
    <row r="203" spans="2:15" ht="15" thickBot="1" x14ac:dyDescent="0.35">
      <c r="B203" t="s">
        <v>82</v>
      </c>
      <c r="C203" s="57" t="s">
        <v>143</v>
      </c>
      <c r="D203" s="58"/>
      <c r="E203" s="58"/>
      <c r="F203" s="58"/>
      <c r="G203" s="58"/>
      <c r="H203" s="58"/>
      <c r="I203" s="58"/>
      <c r="J203" s="58"/>
      <c r="K203" s="58"/>
      <c r="L203" s="60"/>
      <c r="M203" s="60"/>
    </row>
    <row r="204" spans="2:15" x14ac:dyDescent="0.3">
      <c r="C204" t="s">
        <v>69</v>
      </c>
      <c r="D204" s="34">
        <f>E204-1</f>
        <v>2016</v>
      </c>
      <c r="E204" s="34">
        <f>F204-1</f>
        <v>2017</v>
      </c>
      <c r="F204" s="34">
        <f>YEAR($D$10)</f>
        <v>2018</v>
      </c>
      <c r="G204" s="33">
        <f>F204+1</f>
        <v>2019</v>
      </c>
      <c r="H204" s="33">
        <f>G204+1</f>
        <v>2020</v>
      </c>
      <c r="I204" s="33">
        <f>H204+1</f>
        <v>2021</v>
      </c>
      <c r="J204" s="33">
        <f>I204+1</f>
        <v>2022</v>
      </c>
      <c r="K204" s="33">
        <f>J204+1</f>
        <v>2023</v>
      </c>
      <c r="L204" s="33"/>
      <c r="M204" s="33"/>
    </row>
    <row r="205" spans="2:15" x14ac:dyDescent="0.3">
      <c r="C205" s="32" t="s">
        <v>68</v>
      </c>
      <c r="D205" s="31">
        <f>EOMONTH(E205,-12)</f>
        <v>43008</v>
      </c>
      <c r="E205" s="31">
        <v>43372</v>
      </c>
      <c r="F205" s="31">
        <f>$D$10</f>
        <v>43372</v>
      </c>
      <c r="G205" s="31">
        <f>EOMONTH(F205,12)</f>
        <v>43738</v>
      </c>
      <c r="H205" s="31">
        <f>EOMONTH(G205,12)</f>
        <v>44104</v>
      </c>
      <c r="I205" s="31">
        <f>EOMONTH(H205,12)</f>
        <v>44469</v>
      </c>
      <c r="J205" s="31">
        <f>EOMONTH(I205,12)</f>
        <v>44834</v>
      </c>
      <c r="K205" s="31">
        <f>EOMONTH(J205,12)</f>
        <v>45199</v>
      </c>
      <c r="L205" s="155"/>
      <c r="M205" s="155"/>
    </row>
    <row r="207" spans="2:15" x14ac:dyDescent="0.3">
      <c r="C207" t="s">
        <v>144</v>
      </c>
      <c r="D207" s="5">
        <f>-D25</f>
        <v>1456</v>
      </c>
      <c r="E207" s="5">
        <f>-E25</f>
        <v>2323</v>
      </c>
      <c r="F207" s="5">
        <f>-F25</f>
        <v>3240</v>
      </c>
      <c r="O207" t="s">
        <v>152</v>
      </c>
    </row>
    <row r="209" spans="2:15" x14ac:dyDescent="0.3">
      <c r="C209" s="80" t="s">
        <v>133</v>
      </c>
    </row>
    <row r="210" spans="2:15" x14ac:dyDescent="0.3">
      <c r="C210" t="s">
        <v>145</v>
      </c>
      <c r="E210" s="82">
        <v>1.2E-2</v>
      </c>
      <c r="F210" s="82">
        <v>2.18E-2</v>
      </c>
      <c r="G210" s="81">
        <f>F210</f>
        <v>2.18E-2</v>
      </c>
      <c r="H210" s="81">
        <f t="shared" ref="H210:K210" si="135">G210</f>
        <v>2.18E-2</v>
      </c>
      <c r="I210" s="81">
        <f t="shared" si="135"/>
        <v>2.18E-2</v>
      </c>
      <c r="J210" s="81">
        <f t="shared" si="135"/>
        <v>2.18E-2</v>
      </c>
      <c r="K210" s="81">
        <f t="shared" si="135"/>
        <v>2.18E-2</v>
      </c>
      <c r="L210" s="81"/>
      <c r="M210" s="81"/>
      <c r="O210" t="s">
        <v>2</v>
      </c>
    </row>
    <row r="211" spans="2:15" x14ac:dyDescent="0.3">
      <c r="C211" s="69" t="s">
        <v>146</v>
      </c>
      <c r="D211" s="66"/>
      <c r="E211" s="66">
        <f t="shared" ref="E211:K211" si="136">E58</f>
        <v>11977</v>
      </c>
      <c r="F211" s="66">
        <f t="shared" si="136"/>
        <v>11964</v>
      </c>
      <c r="G211" s="66">
        <f t="shared" ca="1" si="136"/>
        <v>12000</v>
      </c>
      <c r="H211" s="66">
        <f t="shared" ca="1" si="136"/>
        <v>12000</v>
      </c>
      <c r="I211" s="66">
        <f t="shared" ca="1" si="136"/>
        <v>12000</v>
      </c>
      <c r="J211" s="66">
        <f t="shared" ca="1" si="136"/>
        <v>12000</v>
      </c>
      <c r="K211" s="66">
        <f t="shared" ca="1" si="136"/>
        <v>12000</v>
      </c>
      <c r="L211" s="60"/>
      <c r="M211" s="60"/>
      <c r="O211" t="s">
        <v>154</v>
      </c>
    </row>
    <row r="212" spans="2:15" x14ac:dyDescent="0.3">
      <c r="C212" s="22" t="s">
        <v>147</v>
      </c>
      <c r="D212" s="50"/>
      <c r="E212" s="50">
        <f t="shared" ref="E212" si="137">AVERAGE(D211:E211)*E210</f>
        <v>143.72399999999999</v>
      </c>
      <c r="F212" s="50">
        <f>AVERAGE(E211:F211)*F210</f>
        <v>260.95690000000002</v>
      </c>
      <c r="G212" s="50">
        <f ca="1">IF($D$7=1,AVERAGE(F211:G211)*G210,0)</f>
        <v>261.20760000000001</v>
      </c>
      <c r="H212" s="50">
        <f t="shared" ref="H212:K212" ca="1" si="138">IF($D$7=1,AVERAGE(G211:H211)*H210,0)</f>
        <v>261.60000000000002</v>
      </c>
      <c r="I212" s="50">
        <f t="shared" ca="1" si="138"/>
        <v>261.60000000000002</v>
      </c>
      <c r="J212" s="50">
        <f t="shared" ca="1" si="138"/>
        <v>261.60000000000002</v>
      </c>
      <c r="K212" s="50">
        <f t="shared" ca="1" si="138"/>
        <v>261.60000000000002</v>
      </c>
      <c r="L212" s="50"/>
      <c r="M212" s="50"/>
      <c r="O212" t="s">
        <v>155</v>
      </c>
    </row>
    <row r="213" spans="2:15" x14ac:dyDescent="0.3">
      <c r="C213" s="64"/>
    </row>
    <row r="214" spans="2:15" x14ac:dyDescent="0.3">
      <c r="C214" s="80" t="s">
        <v>148</v>
      </c>
    </row>
    <row r="215" spans="2:15" x14ac:dyDescent="0.3">
      <c r="C215" t="s">
        <v>146</v>
      </c>
      <c r="E215" s="5">
        <f t="shared" ref="E215:K215" si="139">E59</f>
        <v>103703</v>
      </c>
      <c r="F215" s="5">
        <f t="shared" si="139"/>
        <v>102519</v>
      </c>
      <c r="G215" s="5">
        <f t="shared" si="139"/>
        <v>102519</v>
      </c>
      <c r="H215" s="5">
        <f t="shared" si="139"/>
        <v>102519</v>
      </c>
      <c r="I215" s="5">
        <f t="shared" si="139"/>
        <v>102519</v>
      </c>
      <c r="J215" s="5">
        <f t="shared" si="139"/>
        <v>102519</v>
      </c>
      <c r="K215" s="5">
        <f t="shared" si="139"/>
        <v>102519</v>
      </c>
      <c r="O215" t="s">
        <v>156</v>
      </c>
    </row>
    <row r="216" spans="2:15" x14ac:dyDescent="0.3">
      <c r="C216" s="69" t="s">
        <v>145</v>
      </c>
      <c r="D216" s="66"/>
      <c r="E216" s="84">
        <f t="shared" ref="E216" si="140">E217/AVERAGE(D215:E215)</f>
        <v>2.101458974185896E-2</v>
      </c>
      <c r="F216" s="84">
        <f>F217/AVERAGE(E215:F215)</f>
        <v>2.8891612921996681E-2</v>
      </c>
      <c r="G216" s="84">
        <f>F216</f>
        <v>2.8891612921996681E-2</v>
      </c>
      <c r="H216" s="84">
        <f t="shared" ref="H216:K216" si="141">G216</f>
        <v>2.8891612921996681E-2</v>
      </c>
      <c r="I216" s="84">
        <f t="shared" si="141"/>
        <v>2.8891612921996681E-2</v>
      </c>
      <c r="J216" s="84">
        <f t="shared" si="141"/>
        <v>2.8891612921996681E-2</v>
      </c>
      <c r="K216" s="84">
        <f t="shared" si="141"/>
        <v>2.8891612921996681E-2</v>
      </c>
      <c r="L216" s="160"/>
      <c r="M216" s="160"/>
      <c r="O216" t="s">
        <v>2</v>
      </c>
    </row>
    <row r="217" spans="2:15" x14ac:dyDescent="0.3">
      <c r="C217" s="22" t="s">
        <v>147</v>
      </c>
      <c r="E217" s="50">
        <f t="shared" ref="E217" si="142">E207-E212</f>
        <v>2179.2759999999998</v>
      </c>
      <c r="F217" s="50">
        <f>F207-F212</f>
        <v>2979.0430999999999</v>
      </c>
      <c r="G217" s="50">
        <f>AVERAGE(F215:G215)*G216</f>
        <v>2961.9392651501776</v>
      </c>
      <c r="H217" s="50">
        <f t="shared" ref="H217:K217" si="143">H216*AVERAGE(G215:H215)</f>
        <v>2961.9392651501776</v>
      </c>
      <c r="I217" s="50">
        <f t="shared" si="143"/>
        <v>2961.9392651501776</v>
      </c>
      <c r="J217" s="50">
        <f t="shared" si="143"/>
        <v>2961.9392651501776</v>
      </c>
      <c r="K217" s="50">
        <f t="shared" si="143"/>
        <v>2961.9392651501776</v>
      </c>
      <c r="L217" s="50"/>
      <c r="M217" s="50"/>
      <c r="O217" t="s">
        <v>153</v>
      </c>
    </row>
    <row r="218" spans="2:15" x14ac:dyDescent="0.3">
      <c r="C218" s="22"/>
    </row>
    <row r="219" spans="2:15" x14ac:dyDescent="0.3">
      <c r="C219" s="80" t="s">
        <v>149</v>
      </c>
    </row>
    <row r="220" spans="2:15" x14ac:dyDescent="0.3">
      <c r="C220" s="69" t="s">
        <v>150</v>
      </c>
      <c r="D220" s="85">
        <v>1.7299999999999999E-2</v>
      </c>
      <c r="E220" s="85">
        <v>1.9900000000000001E-2</v>
      </c>
      <c r="F220" s="85">
        <v>2.1600000000000001E-2</v>
      </c>
      <c r="G220" s="83">
        <f>F220</f>
        <v>2.1600000000000001E-2</v>
      </c>
      <c r="H220" s="83">
        <f t="shared" ref="H220:K220" si="144">G220</f>
        <v>2.1600000000000001E-2</v>
      </c>
      <c r="I220" s="83">
        <f t="shared" si="144"/>
        <v>2.1600000000000001E-2</v>
      </c>
      <c r="J220" s="83">
        <f t="shared" si="144"/>
        <v>2.1600000000000001E-2</v>
      </c>
      <c r="K220" s="83">
        <f t="shared" si="144"/>
        <v>2.1600000000000001E-2</v>
      </c>
      <c r="L220" s="161"/>
      <c r="M220" s="161"/>
      <c r="O220" t="s">
        <v>2</v>
      </c>
    </row>
    <row r="221" spans="2:15" x14ac:dyDescent="0.3">
      <c r="C221" s="22" t="s">
        <v>151</v>
      </c>
      <c r="D221" s="50">
        <f>D24</f>
        <v>3999</v>
      </c>
      <c r="E221" s="50">
        <f>E24</f>
        <v>5201</v>
      </c>
      <c r="F221" s="50">
        <f>F24</f>
        <v>5686</v>
      </c>
      <c r="G221" s="50">
        <f ca="1">IF($D$7=1,G220*AVERAGE(F46:G46),0)</f>
        <v>4701.9145473391418</v>
      </c>
      <c r="H221" s="50">
        <f ca="1">IF($D$7=1,H220*AVERAGE(G46:H46),0)</f>
        <v>3950.7434208626923</v>
      </c>
      <c r="I221" s="50">
        <f ca="1">IF($D$7=1,I220*AVERAGE(H46:I46),0)</f>
        <v>3347.1993774234311</v>
      </c>
      <c r="J221" s="50">
        <f ca="1">IF($D$7=1,J220*AVERAGE(I46:J46),0)</f>
        <v>2820.7479521440137</v>
      </c>
      <c r="K221" s="50">
        <f ca="1">IF($D$7=1,K220*AVERAGE(J46:K46),0)</f>
        <v>2385.0141053997695</v>
      </c>
      <c r="L221" s="50"/>
      <c r="M221" s="50"/>
      <c r="O221" t="s">
        <v>157</v>
      </c>
    </row>
    <row r="223" spans="2:15" x14ac:dyDescent="0.3">
      <c r="B223" s="89">
        <v>0</v>
      </c>
      <c r="C223" s="30" t="s">
        <v>160</v>
      </c>
      <c r="D223" s="90"/>
      <c r="E223" s="90"/>
      <c r="F223" s="90"/>
      <c r="G223" s="90"/>
      <c r="H223" s="90"/>
      <c r="I223" s="90"/>
      <c r="J223" s="90"/>
      <c r="K223" s="90"/>
      <c r="L223" s="162"/>
      <c r="M223" s="162"/>
      <c r="N223" s="89"/>
      <c r="O223" s="89"/>
    </row>
    <row r="224" spans="2:15" x14ac:dyDescent="0.3">
      <c r="B224" s="89"/>
      <c r="D224" s="91"/>
      <c r="E224" s="91"/>
      <c r="F224" s="91"/>
      <c r="G224" s="91"/>
      <c r="H224" s="91"/>
      <c r="I224" s="91"/>
      <c r="J224" s="91"/>
      <c r="K224" s="91"/>
      <c r="L224" s="91"/>
      <c r="M224" s="91"/>
      <c r="N224" s="89"/>
      <c r="O224" s="89"/>
    </row>
    <row r="225" spans="2:15" ht="15" thickBot="1" x14ac:dyDescent="0.35">
      <c r="B225" s="89"/>
      <c r="C225" s="57" t="s">
        <v>194</v>
      </c>
      <c r="D225" s="120"/>
      <c r="E225" s="120"/>
      <c r="F225" s="120"/>
      <c r="G225" s="120"/>
      <c r="H225" s="120"/>
      <c r="I225" s="120"/>
      <c r="J225" s="120"/>
      <c r="K225" s="120"/>
      <c r="L225" s="162"/>
      <c r="M225" s="162"/>
      <c r="N225" s="89"/>
      <c r="O225" s="89"/>
    </row>
    <row r="226" spans="2:15" x14ac:dyDescent="0.3">
      <c r="B226" s="89"/>
      <c r="D226" s="91"/>
      <c r="E226" s="214" t="s">
        <v>161</v>
      </c>
      <c r="F226" s="214"/>
      <c r="G226" s="214"/>
      <c r="H226" s="214"/>
      <c r="I226" s="214"/>
      <c r="J226" s="91"/>
      <c r="K226" s="91"/>
      <c r="L226" s="91"/>
      <c r="M226" s="91"/>
      <c r="N226" s="89"/>
      <c r="O226" s="89"/>
    </row>
    <row r="227" spans="2:15" ht="15" thickBot="1" x14ac:dyDescent="0.35">
      <c r="B227" s="89"/>
      <c r="D227" s="107">
        <f ca="1">G29</f>
        <v>51863.79972323963</v>
      </c>
      <c r="E227" s="108">
        <v>-0.08</v>
      </c>
      <c r="F227" s="108">
        <v>-0.06</v>
      </c>
      <c r="G227" s="108">
        <v>-0.04</v>
      </c>
      <c r="H227" s="108">
        <v>-0.02</v>
      </c>
      <c r="I227" s="108">
        <v>0.04</v>
      </c>
      <c r="J227" s="91"/>
      <c r="K227" s="91"/>
      <c r="L227" s="91"/>
      <c r="M227" s="91"/>
      <c r="N227" s="89"/>
      <c r="O227" s="89"/>
    </row>
    <row r="228" spans="2:15" x14ac:dyDescent="0.3">
      <c r="B228" s="89"/>
      <c r="D228" s="109">
        <v>0.4</v>
      </c>
      <c r="E228" s="110">
        <f t="dataTable" ref="E228:I231" dt2D="1" dtr="1" r1="G37" r2="G38" ca="1"/>
        <v>54600.208375622984</v>
      </c>
      <c r="F228" s="111">
        <v>55784.566830042197</v>
      </c>
      <c r="G228" s="111">
        <v>56968.92528446138</v>
      </c>
      <c r="H228" s="111">
        <v>58153.283738880556</v>
      </c>
      <c r="I228" s="111">
        <v>61706.359102138056</v>
      </c>
      <c r="J228" s="91"/>
      <c r="K228" s="91"/>
      <c r="L228" s="91"/>
      <c r="M228" s="91"/>
      <c r="N228" s="89"/>
      <c r="O228" s="89"/>
    </row>
    <row r="229" spans="2:15" x14ac:dyDescent="0.3">
      <c r="B229" s="89"/>
      <c r="C229" s="119" t="s">
        <v>162</v>
      </c>
      <c r="D229" s="109">
        <v>0.39</v>
      </c>
      <c r="E229" s="112">
        <v>52552.855647824254</v>
      </c>
      <c r="F229" s="113">
        <v>53692.706434247724</v>
      </c>
      <c r="G229" s="113">
        <v>54832.557220671275</v>
      </c>
      <c r="H229" s="113">
        <v>55972.408007094826</v>
      </c>
      <c r="I229" s="113">
        <v>59391.960366365456</v>
      </c>
      <c r="J229" s="91"/>
      <c r="K229" s="91"/>
      <c r="L229" s="91"/>
      <c r="M229" s="91"/>
      <c r="N229" s="89"/>
      <c r="O229" s="89"/>
    </row>
    <row r="230" spans="2:15" x14ac:dyDescent="0.3">
      <c r="B230" s="89"/>
      <c r="C230" s="119" t="s">
        <v>193</v>
      </c>
      <c r="D230" s="109">
        <v>0.378</v>
      </c>
      <c r="E230" s="112">
        <v>50096.032374465642</v>
      </c>
      <c r="F230" s="113">
        <v>51182.473959294366</v>
      </c>
      <c r="G230" s="113">
        <v>52268.915544123156</v>
      </c>
      <c r="H230" s="113">
        <v>53355.35712895196</v>
      </c>
      <c r="I230" s="113">
        <v>56614.681883438323</v>
      </c>
      <c r="J230" s="91"/>
      <c r="K230" s="91"/>
      <c r="L230" s="91"/>
      <c r="M230" s="91"/>
      <c r="N230" s="89"/>
      <c r="O230" s="89"/>
    </row>
    <row r="231" spans="2:15" x14ac:dyDescent="0.3">
      <c r="B231" s="89"/>
      <c r="C231" s="119" t="s">
        <v>163</v>
      </c>
      <c r="D231" s="109">
        <v>0.35</v>
      </c>
      <c r="E231" s="112">
        <v>44363.444736628866</v>
      </c>
      <c r="F231" s="113">
        <v>45325.264851069842</v>
      </c>
      <c r="G231" s="113">
        <v>46287.084965510883</v>
      </c>
      <c r="H231" s="113">
        <v>47248.905079951925</v>
      </c>
      <c r="I231" s="113">
        <v>50134.365423275027</v>
      </c>
      <c r="J231" s="91"/>
      <c r="K231" s="91"/>
      <c r="L231" s="91"/>
      <c r="M231" s="91"/>
      <c r="N231" s="89"/>
      <c r="O231" s="89"/>
    </row>
    <row r="232" spans="2:15" x14ac:dyDescent="0.3">
      <c r="B232" s="89"/>
      <c r="D232" s="114"/>
      <c r="E232" s="115"/>
      <c r="F232" s="116"/>
      <c r="G232" s="117"/>
      <c r="H232" s="117"/>
      <c r="I232" s="117"/>
      <c r="J232" s="91"/>
      <c r="K232" s="91"/>
      <c r="L232" s="91"/>
      <c r="M232" s="91"/>
      <c r="N232" s="89"/>
      <c r="O232" s="89"/>
    </row>
    <row r="233" spans="2:15" x14ac:dyDescent="0.3">
      <c r="B233" s="89"/>
      <c r="D233" s="118"/>
      <c r="E233" s="112"/>
      <c r="F233" s="113"/>
      <c r="G233" s="113"/>
      <c r="H233" s="113"/>
      <c r="I233" s="113"/>
      <c r="J233" s="91"/>
      <c r="K233" s="91"/>
      <c r="L233" s="91"/>
      <c r="M233" s="91"/>
      <c r="N233" s="89"/>
      <c r="O233" s="89"/>
    </row>
    <row r="234" spans="2:15" x14ac:dyDescent="0.3">
      <c r="B234" s="89">
        <v>0</v>
      </c>
      <c r="C234" s="92" t="s">
        <v>164</v>
      </c>
      <c r="D234" s="90"/>
      <c r="E234" s="90"/>
      <c r="F234" s="90"/>
      <c r="G234" s="90"/>
      <c r="H234" s="90"/>
      <c r="I234" s="90"/>
      <c r="J234" s="90"/>
      <c r="K234" s="90"/>
      <c r="L234" s="162"/>
      <c r="M234" s="162"/>
      <c r="N234" s="89"/>
      <c r="O234" s="89"/>
    </row>
    <row r="235" spans="2:15" ht="15" thickBot="1" x14ac:dyDescent="0.35">
      <c r="B235" s="89"/>
      <c r="D235" s="91"/>
      <c r="E235" s="91"/>
      <c r="F235" s="91"/>
      <c r="G235" s="91"/>
      <c r="H235" s="91"/>
      <c r="I235" s="91"/>
      <c r="J235" s="91"/>
      <c r="K235" s="91"/>
      <c r="L235" s="91"/>
      <c r="M235" s="91"/>
      <c r="N235" s="89"/>
      <c r="O235" s="89"/>
    </row>
    <row r="236" spans="2:15" x14ac:dyDescent="0.3">
      <c r="B236" s="89"/>
      <c r="C236" t="s">
        <v>165</v>
      </c>
      <c r="D236" s="93" t="str">
        <f>D12</f>
        <v xml:space="preserve"> Base case</v>
      </c>
      <c r="E236" s="91"/>
      <c r="F236" s="94" t="s">
        <v>166</v>
      </c>
      <c r="G236" s="33">
        <v>2019</v>
      </c>
      <c r="H236" s="33">
        <v>2020</v>
      </c>
      <c r="I236" s="33">
        <v>2021</v>
      </c>
      <c r="J236" s="33">
        <v>2022</v>
      </c>
      <c r="K236" s="33">
        <v>2023</v>
      </c>
      <c r="L236" s="33"/>
      <c r="M236" s="33"/>
      <c r="N236" s="89"/>
      <c r="O236" s="89"/>
    </row>
    <row r="237" spans="2:15" x14ac:dyDescent="0.3">
      <c r="B237" s="89"/>
      <c r="D237" s="91"/>
      <c r="E237" s="91"/>
      <c r="F237" s="95" t="s">
        <v>159</v>
      </c>
      <c r="G237" s="31">
        <v>43738</v>
      </c>
      <c r="H237" s="31">
        <v>44104</v>
      </c>
      <c r="I237" s="31">
        <v>44469</v>
      </c>
      <c r="J237" s="31">
        <v>44834</v>
      </c>
      <c r="K237" s="31">
        <v>45199</v>
      </c>
      <c r="L237" s="155"/>
      <c r="M237" s="155"/>
      <c r="N237" s="89"/>
      <c r="O237" s="89"/>
    </row>
    <row r="238" spans="2:15" x14ac:dyDescent="0.3">
      <c r="B238" s="89"/>
      <c r="C238" t="s">
        <v>33</v>
      </c>
      <c r="D238" s="91"/>
      <c r="E238" s="91"/>
      <c r="F238" s="123" t="str">
        <f t="shared" ref="F238:K243" ca="1" si="145">OFFSET(F$245,MATCH($D$12,$C$246:$C$248,0)+MATCH($C238,$C$245:$C$268,0)-1,0)</f>
        <v>NM</v>
      </c>
      <c r="G238" s="96">
        <f t="shared" ca="1" si="145"/>
        <v>-4.7457664112652731E-2</v>
      </c>
      <c r="H238" s="96">
        <f t="shared" ca="1" si="145"/>
        <v>4.8959559335073566E-2</v>
      </c>
      <c r="I238" s="96">
        <f t="shared" ca="1" si="145"/>
        <v>4.9103676778599281E-2</v>
      </c>
      <c r="J238" s="96">
        <f t="shared" ca="1" si="145"/>
        <v>5.452648664310078E-2</v>
      </c>
      <c r="K238" s="96">
        <f t="shared" ca="1" si="145"/>
        <v>6.0248763393349503E-2</v>
      </c>
      <c r="L238" s="96"/>
      <c r="M238" s="96"/>
      <c r="N238" s="89"/>
    </row>
    <row r="239" spans="2:15" x14ac:dyDescent="0.3">
      <c r="B239" s="89"/>
      <c r="C239" t="s">
        <v>219</v>
      </c>
      <c r="D239" s="91"/>
      <c r="E239" s="91"/>
      <c r="F239" s="151" t="str">
        <f t="shared" ca="1" si="145"/>
        <v>NM</v>
      </c>
      <c r="G239" s="148">
        <f t="shared" ca="1" si="145"/>
        <v>173700</v>
      </c>
      <c r="H239" s="148">
        <f t="shared" ca="1" si="145"/>
        <v>190880</v>
      </c>
      <c r="I239" s="148">
        <f t="shared" ca="1" si="145"/>
        <v>190880</v>
      </c>
      <c r="J239" s="148">
        <f t="shared" ca="1" si="145"/>
        <v>190880</v>
      </c>
      <c r="K239" s="148">
        <f t="shared" ca="1" si="145"/>
        <v>190880</v>
      </c>
      <c r="L239" s="148"/>
      <c r="M239" s="148"/>
      <c r="N239" s="89"/>
    </row>
    <row r="240" spans="2:15" x14ac:dyDescent="0.3">
      <c r="B240" s="89"/>
      <c r="C240" t="s">
        <v>220</v>
      </c>
      <c r="D240" s="91"/>
      <c r="E240" s="91"/>
      <c r="F240" s="151" t="str">
        <f t="shared" ca="1" si="145"/>
        <v>NM</v>
      </c>
      <c r="G240" s="148">
        <f t="shared" ca="1" si="145"/>
        <v>792</v>
      </c>
      <c r="H240" s="148">
        <f t="shared" ca="1" si="145"/>
        <v>725</v>
      </c>
      <c r="I240" s="148">
        <f t="shared" ca="1" si="145"/>
        <v>725</v>
      </c>
      <c r="J240" s="148">
        <f t="shared" ca="1" si="145"/>
        <v>725</v>
      </c>
      <c r="K240" s="148">
        <f t="shared" ca="1" si="145"/>
        <v>725</v>
      </c>
      <c r="L240" s="148"/>
      <c r="M240" s="148"/>
      <c r="N240" s="89"/>
    </row>
    <row r="241" spans="2:15" x14ac:dyDescent="0.3">
      <c r="B241" s="89"/>
      <c r="C241" t="s">
        <v>32</v>
      </c>
      <c r="D241" s="91"/>
      <c r="E241" s="91"/>
      <c r="F241" s="124" t="str">
        <f t="shared" ca="1" si="145"/>
        <v>NM</v>
      </c>
      <c r="G241" s="96">
        <f t="shared" ca="1" si="145"/>
        <v>0.378</v>
      </c>
      <c r="H241" s="96">
        <f t="shared" ca="1" si="145"/>
        <v>0.38</v>
      </c>
      <c r="I241" s="96">
        <f t="shared" ca="1" si="145"/>
        <v>0.38200000000000001</v>
      </c>
      <c r="J241" s="96">
        <f t="shared" ca="1" si="145"/>
        <v>0.38200000000000001</v>
      </c>
      <c r="K241" s="96">
        <f t="shared" ca="1" si="145"/>
        <v>0.38200000000000001</v>
      </c>
      <c r="L241" s="96"/>
      <c r="M241" s="96"/>
      <c r="N241" s="89"/>
    </row>
    <row r="242" spans="2:15" x14ac:dyDescent="0.3">
      <c r="B242" s="89"/>
      <c r="C242" t="s">
        <v>31</v>
      </c>
      <c r="D242" s="91"/>
      <c r="E242" s="91"/>
      <c r="F242" s="124" t="str">
        <f t="shared" ca="1" si="145"/>
        <v>NM</v>
      </c>
      <c r="G242" s="96">
        <f t="shared" ca="1" si="145"/>
        <v>6.2E-2</v>
      </c>
      <c r="H242" s="96">
        <f t="shared" ca="1" si="145"/>
        <v>6.3E-2</v>
      </c>
      <c r="I242" s="96">
        <f t="shared" ca="1" si="145"/>
        <v>6.3E-2</v>
      </c>
      <c r="J242" s="96">
        <f t="shared" ca="1" si="145"/>
        <v>6.3E-2</v>
      </c>
      <c r="K242" s="96">
        <f t="shared" ca="1" si="145"/>
        <v>6.3E-2</v>
      </c>
      <c r="L242" s="96"/>
      <c r="M242" s="96"/>
      <c r="N242" s="89"/>
    </row>
    <row r="243" spans="2:15" x14ac:dyDescent="0.3">
      <c r="B243" s="89"/>
      <c r="C243" t="s">
        <v>30</v>
      </c>
      <c r="D243" s="91"/>
      <c r="E243" s="91"/>
      <c r="F243" s="124" t="str">
        <f t="shared" ca="1" si="145"/>
        <v>NM</v>
      </c>
      <c r="G243" s="96">
        <f t="shared" ca="1" si="145"/>
        <v>7.3999999999999996E-2</v>
      </c>
      <c r="H243" s="96">
        <f t="shared" ca="1" si="145"/>
        <v>6.9000000000000006E-2</v>
      </c>
      <c r="I243" s="96">
        <f t="shared" ca="1" si="145"/>
        <v>6.9000000000000006E-2</v>
      </c>
      <c r="J243" s="96">
        <f t="shared" ca="1" si="145"/>
        <v>6.9000000000000006E-2</v>
      </c>
      <c r="K243" s="96">
        <f t="shared" ca="1" si="145"/>
        <v>6.9000000000000006E-2</v>
      </c>
      <c r="L243" s="96"/>
      <c r="M243" s="96"/>
      <c r="N243" s="89"/>
    </row>
    <row r="244" spans="2:15" x14ac:dyDescent="0.3">
      <c r="B244" s="89"/>
      <c r="D244" s="91"/>
      <c r="E244" s="91"/>
      <c r="F244" s="97"/>
      <c r="G244" s="98"/>
      <c r="H244"/>
      <c r="I244"/>
      <c r="J244" s="98"/>
      <c r="K244" s="98"/>
      <c r="L244" s="98"/>
      <c r="M244" s="98"/>
      <c r="N244" s="89"/>
      <c r="O244" s="89"/>
    </row>
    <row r="245" spans="2:15" x14ac:dyDescent="0.3">
      <c r="B245" s="89"/>
      <c r="C245" s="22" t="s">
        <v>33</v>
      </c>
      <c r="D245" s="91"/>
      <c r="E245" s="91"/>
      <c r="F245" s="97"/>
      <c r="G245" s="91"/>
      <c r="H245" s="91"/>
      <c r="I245" s="122"/>
      <c r="J245" s="91"/>
      <c r="K245" s="91"/>
      <c r="L245" s="91"/>
      <c r="M245" s="91"/>
      <c r="N245" s="89"/>
      <c r="O245" s="89"/>
    </row>
    <row r="246" spans="2:15" x14ac:dyDescent="0.3">
      <c r="B246" s="89"/>
      <c r="C246" t="s">
        <v>167</v>
      </c>
      <c r="D246" s="91"/>
      <c r="E246" s="91"/>
      <c r="F246" s="99">
        <v>2.5000000000000001E-2</v>
      </c>
      <c r="G246" s="100">
        <f ca="1">$F$246+G247</f>
        <v>-2.245766411265273E-2</v>
      </c>
      <c r="H246" s="100">
        <f t="shared" ref="H246:K246" ca="1" si="146">$F$246+H247</f>
        <v>7.395955933507356E-2</v>
      </c>
      <c r="I246" s="100">
        <f t="shared" ca="1" si="146"/>
        <v>7.4103676778599276E-2</v>
      </c>
      <c r="J246" s="100">
        <f t="shared" ca="1" si="146"/>
        <v>7.9526486643100774E-2</v>
      </c>
      <c r="K246" s="100">
        <f t="shared" ca="1" si="146"/>
        <v>8.5248763393349497E-2</v>
      </c>
      <c r="L246" s="100"/>
      <c r="M246" s="100"/>
      <c r="N246" s="89"/>
      <c r="O246" s="89"/>
    </row>
    <row r="247" spans="2:15" x14ac:dyDescent="0.3">
      <c r="B247" s="89"/>
      <c r="C247" t="s">
        <v>168</v>
      </c>
      <c r="D247" s="91"/>
      <c r="E247" s="91"/>
      <c r="F247" s="99" t="s">
        <v>195</v>
      </c>
      <c r="G247" s="145">
        <f ca="1">'Revenues build-up'!G14</f>
        <v>-4.7457664112652731E-2</v>
      </c>
      <c r="H247" s="145">
        <f ca="1">'Revenues build-up'!H14</f>
        <v>4.8959559335073566E-2</v>
      </c>
      <c r="I247" s="145">
        <f ca="1">'Revenues build-up'!I14</f>
        <v>4.9103676778599281E-2</v>
      </c>
      <c r="J247" s="145">
        <f ca="1">'Revenues build-up'!J14</f>
        <v>5.452648664310078E-2</v>
      </c>
      <c r="K247" s="145">
        <f ca="1">'Revenues build-up'!K14</f>
        <v>6.0248763393349503E-2</v>
      </c>
      <c r="L247" s="145"/>
      <c r="M247" s="145"/>
      <c r="N247" s="89"/>
      <c r="O247" s="89"/>
    </row>
    <row r="248" spans="2:15" x14ac:dyDescent="0.3">
      <c r="B248" s="89"/>
      <c r="C248" t="s">
        <v>169</v>
      </c>
      <c r="D248" s="91"/>
      <c r="E248" s="91"/>
      <c r="F248" s="99">
        <v>-2.5000000000000001E-2</v>
      </c>
      <c r="G248" s="100">
        <f ca="1">$F$248+G247</f>
        <v>-7.2457664112652725E-2</v>
      </c>
      <c r="H248" s="100">
        <f t="shared" ref="H248:K248" ca="1" si="147">$F$248+H247</f>
        <v>2.3959559335073564E-2</v>
      </c>
      <c r="I248" s="100">
        <f t="shared" ca="1" si="147"/>
        <v>2.410367677859928E-2</v>
      </c>
      <c r="J248" s="100">
        <f t="shared" ca="1" si="147"/>
        <v>2.9526486643100779E-2</v>
      </c>
      <c r="K248" s="100">
        <f t="shared" ca="1" si="147"/>
        <v>3.5248763393349501E-2</v>
      </c>
      <c r="L248" s="100"/>
      <c r="M248" s="100"/>
      <c r="N248" s="89"/>
      <c r="O248" s="89"/>
    </row>
    <row r="249" spans="2:15" x14ac:dyDescent="0.3">
      <c r="B249" s="89"/>
      <c r="C249" s="22" t="s">
        <v>219</v>
      </c>
      <c r="D249" s="91"/>
      <c r="E249" s="91"/>
      <c r="F249" s="99"/>
      <c r="G249" s="100"/>
      <c r="H249" s="100"/>
      <c r="I249" s="100"/>
      <c r="J249" s="100"/>
      <c r="K249" s="100"/>
      <c r="L249" s="100"/>
      <c r="M249" s="100"/>
      <c r="N249" s="89"/>
      <c r="O249" s="89"/>
    </row>
    <row r="250" spans="2:15" x14ac:dyDescent="0.3">
      <c r="B250" s="89"/>
      <c r="C250" t="s">
        <v>167</v>
      </c>
      <c r="D250" s="91"/>
      <c r="E250" s="91"/>
      <c r="F250" s="149">
        <v>10000</v>
      </c>
      <c r="G250" s="146">
        <f>$F$250+G251</f>
        <v>183700</v>
      </c>
      <c r="H250" s="146">
        <f>$F$250+H251</f>
        <v>200880</v>
      </c>
      <c r="I250" s="146">
        <f>$F$250+I251</f>
        <v>200880</v>
      </c>
      <c r="J250" s="146">
        <f>$F$250+J251</f>
        <v>200880</v>
      </c>
      <c r="K250" s="146">
        <f>$F$250+K251</f>
        <v>200880</v>
      </c>
      <c r="L250" s="146"/>
      <c r="M250" s="146"/>
      <c r="N250" s="89"/>
      <c r="O250" s="89"/>
    </row>
    <row r="251" spans="2:15" x14ac:dyDescent="0.3">
      <c r="B251" s="89"/>
      <c r="C251" t="s">
        <v>168</v>
      </c>
      <c r="D251" s="91"/>
      <c r="E251" s="91"/>
      <c r="F251" s="99" t="s">
        <v>195</v>
      </c>
      <c r="G251" s="209">
        <v>173700</v>
      </c>
      <c r="H251" s="209">
        <v>190880</v>
      </c>
      <c r="I251" s="209">
        <v>190880</v>
      </c>
      <c r="J251" s="209">
        <v>190880</v>
      </c>
      <c r="K251" s="209">
        <v>190880</v>
      </c>
      <c r="L251" s="146"/>
      <c r="M251" s="146"/>
      <c r="N251" s="89"/>
      <c r="O251" s="89"/>
    </row>
    <row r="252" spans="2:15" x14ac:dyDescent="0.3">
      <c r="B252" s="89"/>
      <c r="C252" t="s">
        <v>169</v>
      </c>
      <c r="D252" s="91"/>
      <c r="E252" s="91"/>
      <c r="F252" s="149">
        <v>-10000</v>
      </c>
      <c r="G252" s="146">
        <f>$F$252+G251</f>
        <v>163700</v>
      </c>
      <c r="H252" s="146">
        <f>$F$252+H251</f>
        <v>180880</v>
      </c>
      <c r="I252" s="146">
        <f>$F$252+I251</f>
        <v>180880</v>
      </c>
      <c r="J252" s="146">
        <f>$F$252+J251</f>
        <v>180880</v>
      </c>
      <c r="K252" s="146">
        <f>$F$252+K251</f>
        <v>180880</v>
      </c>
      <c r="L252" s="146"/>
      <c r="M252" s="146"/>
      <c r="N252" s="89"/>
      <c r="O252" s="89"/>
    </row>
    <row r="253" spans="2:15" x14ac:dyDescent="0.3">
      <c r="B253" s="89"/>
      <c r="C253" s="22" t="s">
        <v>220</v>
      </c>
      <c r="D253" s="91"/>
      <c r="E253" s="91"/>
      <c r="F253" s="99"/>
      <c r="G253" s="100"/>
      <c r="H253" s="100"/>
      <c r="I253" s="100"/>
      <c r="J253" s="100"/>
      <c r="K253" s="100"/>
      <c r="L253" s="100"/>
      <c r="M253" s="100"/>
      <c r="N253" s="89"/>
      <c r="O253" s="89"/>
    </row>
    <row r="254" spans="2:15" x14ac:dyDescent="0.3">
      <c r="B254" s="89"/>
      <c r="C254" t="s">
        <v>167</v>
      </c>
      <c r="D254" s="91"/>
      <c r="E254" s="91"/>
      <c r="F254" s="150">
        <v>100</v>
      </c>
      <c r="G254" s="146">
        <f>$F$254+G255</f>
        <v>892</v>
      </c>
      <c r="H254" s="146">
        <f>$F$254+H255</f>
        <v>825</v>
      </c>
      <c r="I254" s="146">
        <f>$F$254+I255</f>
        <v>825</v>
      </c>
      <c r="J254" s="146">
        <f>$F$254+J255</f>
        <v>825</v>
      </c>
      <c r="K254" s="146">
        <f>$F$254+K255</f>
        <v>825</v>
      </c>
      <c r="L254" s="146"/>
      <c r="M254" s="146"/>
      <c r="N254" s="89"/>
      <c r="O254" s="89"/>
    </row>
    <row r="255" spans="2:15" x14ac:dyDescent="0.3">
      <c r="B255" s="89"/>
      <c r="C255" t="s">
        <v>168</v>
      </c>
      <c r="D255" s="91"/>
      <c r="E255" s="91"/>
      <c r="F255" s="99" t="s">
        <v>195</v>
      </c>
      <c r="G255" s="210">
        <v>792</v>
      </c>
      <c r="H255" s="210">
        <v>725</v>
      </c>
      <c r="I255" s="210">
        <v>725</v>
      </c>
      <c r="J255" s="210">
        <v>725</v>
      </c>
      <c r="K255" s="210">
        <v>725</v>
      </c>
      <c r="L255" s="147"/>
      <c r="M255" s="147"/>
      <c r="N255" s="89"/>
      <c r="O255" s="89"/>
    </row>
    <row r="256" spans="2:15" x14ac:dyDescent="0.3">
      <c r="B256" s="89"/>
      <c r="C256" t="s">
        <v>169</v>
      </c>
      <c r="D256" s="91"/>
      <c r="E256" s="91"/>
      <c r="F256" s="149">
        <v>-100</v>
      </c>
      <c r="G256" s="146">
        <f>$F$256+G255</f>
        <v>692</v>
      </c>
      <c r="H256" s="146">
        <f>$F$256+H255</f>
        <v>625</v>
      </c>
      <c r="I256" s="146">
        <f>$F$256+I255</f>
        <v>625</v>
      </c>
      <c r="J256" s="146">
        <f>$F$256+J255</f>
        <v>625</v>
      </c>
      <c r="K256" s="146">
        <f>$F$256+K255</f>
        <v>625</v>
      </c>
      <c r="L256" s="146"/>
      <c r="M256" s="146"/>
      <c r="N256" s="89"/>
      <c r="O256" s="89"/>
    </row>
    <row r="257" spans="2:15" x14ac:dyDescent="0.3">
      <c r="B257" s="89"/>
      <c r="C257" s="22" t="s">
        <v>32</v>
      </c>
      <c r="D257" s="91"/>
      <c r="E257" s="91"/>
      <c r="F257" s="99"/>
      <c r="G257" s="101"/>
      <c r="H257" s="101"/>
      <c r="I257" s="101"/>
      <c r="J257" s="101"/>
      <c r="K257" s="101"/>
      <c r="L257" s="101"/>
      <c r="M257" s="101"/>
      <c r="N257" s="89"/>
      <c r="O257" s="89"/>
    </row>
    <row r="258" spans="2:15" x14ac:dyDescent="0.3">
      <c r="B258" s="89"/>
      <c r="C258" t="s">
        <v>167</v>
      </c>
      <c r="D258" s="91"/>
      <c r="E258" s="91"/>
      <c r="F258" s="99">
        <v>0.01</v>
      </c>
      <c r="G258" s="100">
        <f>$F$258+G259</f>
        <v>0.38800000000000001</v>
      </c>
      <c r="H258" s="100">
        <f>$F$258+H259</f>
        <v>0.39</v>
      </c>
      <c r="I258" s="100">
        <f>$F$258+I259</f>
        <v>0.39200000000000002</v>
      </c>
      <c r="J258" s="100">
        <f>$F$258+J259</f>
        <v>0.39200000000000002</v>
      </c>
      <c r="K258" s="100">
        <f>$F$258+K259</f>
        <v>0.39200000000000002</v>
      </c>
      <c r="L258" s="100"/>
      <c r="M258" s="100"/>
      <c r="N258" s="89"/>
      <c r="O258" s="89"/>
    </row>
    <row r="259" spans="2:15" x14ac:dyDescent="0.3">
      <c r="B259" s="89"/>
      <c r="C259" t="s">
        <v>168</v>
      </c>
      <c r="D259" s="91"/>
      <c r="E259" s="91"/>
      <c r="F259" s="99" t="s">
        <v>195</v>
      </c>
      <c r="G259" s="101">
        <v>0.378</v>
      </c>
      <c r="H259" s="101">
        <v>0.38</v>
      </c>
      <c r="I259" s="101">
        <v>0.38200000000000001</v>
      </c>
      <c r="J259" s="101">
        <f>I259</f>
        <v>0.38200000000000001</v>
      </c>
      <c r="K259" s="101">
        <f>J259</f>
        <v>0.38200000000000001</v>
      </c>
      <c r="L259" s="101"/>
      <c r="M259" s="101"/>
      <c r="N259" s="89"/>
      <c r="O259" s="89"/>
    </row>
    <row r="260" spans="2:15" x14ac:dyDescent="0.3">
      <c r="B260" s="89"/>
      <c r="C260" t="s">
        <v>169</v>
      </c>
      <c r="D260" s="91"/>
      <c r="E260" s="91"/>
      <c r="F260" s="99">
        <v>-0.01</v>
      </c>
      <c r="G260" s="100">
        <f>$F$260+G259</f>
        <v>0.36799999999999999</v>
      </c>
      <c r="H260" s="100">
        <f>$F$260+H259</f>
        <v>0.37</v>
      </c>
      <c r="I260" s="100">
        <f>$F$260+I259</f>
        <v>0.372</v>
      </c>
      <c r="J260" s="100">
        <f>$F$260+J259</f>
        <v>0.372</v>
      </c>
      <c r="K260" s="100">
        <f>$F$260+K259</f>
        <v>0.372</v>
      </c>
      <c r="L260" s="100"/>
      <c r="M260" s="100"/>
      <c r="N260" s="89"/>
      <c r="O260" s="89"/>
    </row>
    <row r="261" spans="2:15" x14ac:dyDescent="0.3">
      <c r="B261" s="89"/>
      <c r="C261" s="22" t="s">
        <v>31</v>
      </c>
      <c r="D261" s="91"/>
      <c r="E261" s="91"/>
      <c r="F261" s="99"/>
      <c r="G261" s="101"/>
      <c r="H261" s="101"/>
      <c r="I261" s="101"/>
      <c r="J261" s="101"/>
      <c r="K261" s="101"/>
      <c r="L261" s="101"/>
      <c r="M261" s="101"/>
      <c r="N261" s="89"/>
      <c r="O261" s="89"/>
    </row>
    <row r="262" spans="2:15" x14ac:dyDescent="0.3">
      <c r="B262" s="89"/>
      <c r="C262" t="s">
        <v>167</v>
      </c>
      <c r="D262" s="91"/>
      <c r="E262" s="91"/>
      <c r="F262" s="99">
        <v>-0.01</v>
      </c>
      <c r="G262" s="100">
        <f>$F$262+G263</f>
        <v>5.1999999999999998E-2</v>
      </c>
      <c r="H262" s="100">
        <f>$F$262+H263</f>
        <v>5.2999999999999999E-2</v>
      </c>
      <c r="I262" s="100">
        <f>$F$262+I263</f>
        <v>5.2999999999999999E-2</v>
      </c>
      <c r="J262" s="100">
        <f>$F$262+J263</f>
        <v>5.2999999999999999E-2</v>
      </c>
      <c r="K262" s="100">
        <f>$F$262+K263</f>
        <v>5.2999999999999999E-2</v>
      </c>
      <c r="L262" s="100"/>
      <c r="M262" s="100"/>
      <c r="N262" s="89"/>
      <c r="O262" s="89"/>
    </row>
    <row r="263" spans="2:15" x14ac:dyDescent="0.3">
      <c r="B263" s="89"/>
      <c r="C263" t="s">
        <v>168</v>
      </c>
      <c r="D263" s="91"/>
      <c r="E263" s="91"/>
      <c r="F263" s="99" t="s">
        <v>195</v>
      </c>
      <c r="G263" s="101">
        <v>6.2E-2</v>
      </c>
      <c r="H263" s="101">
        <v>6.3E-2</v>
      </c>
      <c r="I263" s="101">
        <v>6.3E-2</v>
      </c>
      <c r="J263" s="100">
        <f>I263</f>
        <v>6.3E-2</v>
      </c>
      <c r="K263" s="100">
        <f>J263</f>
        <v>6.3E-2</v>
      </c>
      <c r="L263" s="100"/>
      <c r="M263" s="100"/>
      <c r="N263" s="89"/>
      <c r="O263" s="89"/>
    </row>
    <row r="264" spans="2:15" x14ac:dyDescent="0.3">
      <c r="B264" s="89"/>
      <c r="C264" t="s">
        <v>169</v>
      </c>
      <c r="D264" s="91"/>
      <c r="E264" s="91"/>
      <c r="F264" s="99">
        <v>0.01</v>
      </c>
      <c r="G264" s="100">
        <f>$F$264+G263</f>
        <v>7.1999999999999995E-2</v>
      </c>
      <c r="H264" s="100">
        <f>$F$264+H263</f>
        <v>7.2999999999999995E-2</v>
      </c>
      <c r="I264" s="100">
        <f>$F$264+I263</f>
        <v>7.2999999999999995E-2</v>
      </c>
      <c r="J264" s="100">
        <f>$F$264+J263</f>
        <v>7.2999999999999995E-2</v>
      </c>
      <c r="K264" s="100">
        <f>$F$264+K263</f>
        <v>7.2999999999999995E-2</v>
      </c>
      <c r="L264" s="100"/>
      <c r="M264" s="100"/>
      <c r="N264" s="89"/>
      <c r="O264" s="89"/>
    </row>
    <row r="265" spans="2:15" x14ac:dyDescent="0.3">
      <c r="B265" s="89"/>
      <c r="C265" s="22" t="s">
        <v>30</v>
      </c>
      <c r="D265" s="91"/>
      <c r="E265" s="91"/>
      <c r="F265" s="99"/>
      <c r="G265" s="101"/>
      <c r="H265" s="101"/>
      <c r="I265" s="101"/>
      <c r="J265" s="101"/>
      <c r="K265" s="101"/>
      <c r="L265" s="101"/>
      <c r="M265" s="101"/>
      <c r="N265" s="89"/>
      <c r="O265" s="89"/>
    </row>
    <row r="266" spans="2:15" x14ac:dyDescent="0.3">
      <c r="B266" s="89"/>
      <c r="C266" t="s">
        <v>167</v>
      </c>
      <c r="D266" s="91"/>
      <c r="E266" s="91"/>
      <c r="F266" s="99">
        <v>-0.01</v>
      </c>
      <c r="G266" s="100">
        <f>$F$266+G267</f>
        <v>6.4000000000000001E-2</v>
      </c>
      <c r="H266" s="100">
        <f>$F$266+H267</f>
        <v>5.9000000000000004E-2</v>
      </c>
      <c r="I266" s="100">
        <f>$F$266+I267</f>
        <v>5.9000000000000004E-2</v>
      </c>
      <c r="J266" s="100">
        <f>$F$266+J267</f>
        <v>5.9000000000000004E-2</v>
      </c>
      <c r="K266" s="100">
        <f>$F$266+K267</f>
        <v>5.9000000000000004E-2</v>
      </c>
      <c r="L266" s="100"/>
      <c r="M266" s="100"/>
      <c r="N266" s="89"/>
      <c r="O266" s="89"/>
    </row>
    <row r="267" spans="2:15" x14ac:dyDescent="0.3">
      <c r="B267" s="89"/>
      <c r="C267" t="s">
        <v>168</v>
      </c>
      <c r="D267" s="91"/>
      <c r="E267" s="91"/>
      <c r="F267" s="99" t="s">
        <v>195</v>
      </c>
      <c r="G267" s="101">
        <v>7.3999999999999996E-2</v>
      </c>
      <c r="H267" s="101">
        <v>6.9000000000000006E-2</v>
      </c>
      <c r="I267" s="101">
        <v>6.9000000000000006E-2</v>
      </c>
      <c r="J267" s="100">
        <f>I267</f>
        <v>6.9000000000000006E-2</v>
      </c>
      <c r="K267" s="100">
        <f>J267</f>
        <v>6.9000000000000006E-2</v>
      </c>
      <c r="L267" s="100"/>
      <c r="M267" s="100"/>
      <c r="N267" s="89"/>
      <c r="O267" s="89"/>
    </row>
    <row r="268" spans="2:15" ht="15" thickBot="1" x14ac:dyDescent="0.35">
      <c r="B268" s="89"/>
      <c r="C268" t="s">
        <v>169</v>
      </c>
      <c r="D268" s="91"/>
      <c r="E268" s="91"/>
      <c r="F268" s="102">
        <v>0.01</v>
      </c>
      <c r="G268" s="100">
        <f>$F$268+G267</f>
        <v>8.3999999999999991E-2</v>
      </c>
      <c r="H268" s="100">
        <f>$F$268+H267</f>
        <v>7.9000000000000001E-2</v>
      </c>
      <c r="I268" s="100">
        <f>$F$268+I267</f>
        <v>7.9000000000000001E-2</v>
      </c>
      <c r="J268" s="100">
        <f>$F$268+J267</f>
        <v>7.9000000000000001E-2</v>
      </c>
      <c r="K268" s="100">
        <f>$F$268+K267</f>
        <v>7.9000000000000001E-2</v>
      </c>
      <c r="L268" s="100"/>
      <c r="M268" s="100"/>
      <c r="N268" s="89"/>
      <c r="O268" s="89"/>
    </row>
    <row r="269" spans="2:15" x14ac:dyDescent="0.3">
      <c r="B269" s="89"/>
      <c r="D269" s="91"/>
      <c r="E269" s="91"/>
      <c r="F269" s="91"/>
      <c r="G269" s="91"/>
      <c r="H269" s="91"/>
      <c r="I269" s="91"/>
      <c r="J269" s="91"/>
      <c r="K269" s="91"/>
      <c r="L269" s="91"/>
      <c r="M269" s="91"/>
      <c r="N269" s="89"/>
      <c r="O269" s="89"/>
    </row>
    <row r="270" spans="2:15" x14ac:dyDescent="0.3">
      <c r="B270" s="89"/>
      <c r="D270" s="91"/>
      <c r="E270" s="91"/>
      <c r="F270" s="91"/>
      <c r="G270" s="91"/>
      <c r="H270" s="91"/>
      <c r="I270" s="91"/>
      <c r="J270" s="91"/>
      <c r="K270" s="91"/>
      <c r="L270" s="91"/>
      <c r="M270" s="91"/>
      <c r="N270" s="89"/>
      <c r="O270" s="89"/>
    </row>
    <row r="271" spans="2:15" x14ac:dyDescent="0.3">
      <c r="B271" s="89"/>
      <c r="D271" s="91"/>
      <c r="E271" s="91"/>
      <c r="F271" s="91"/>
      <c r="G271" s="91"/>
      <c r="H271" s="91"/>
      <c r="I271" s="91"/>
      <c r="J271" s="91"/>
      <c r="K271" s="91"/>
      <c r="L271" s="91"/>
      <c r="M271" s="91"/>
      <c r="N271" s="89"/>
      <c r="O271" s="89"/>
    </row>
    <row r="272" spans="2:15" x14ac:dyDescent="0.3">
      <c r="B272" s="89" t="s">
        <v>82</v>
      </c>
      <c r="C272" s="30" t="s">
        <v>170</v>
      </c>
      <c r="D272" s="90"/>
      <c r="E272" s="90"/>
      <c r="F272" s="90"/>
      <c r="G272" s="90"/>
      <c r="H272" s="90"/>
      <c r="I272" s="90"/>
      <c r="J272" s="90"/>
      <c r="K272" s="90"/>
      <c r="L272" s="162"/>
      <c r="M272" s="162"/>
      <c r="N272" s="89"/>
      <c r="O272" s="89"/>
    </row>
    <row r="273" spans="2:15" x14ac:dyDescent="0.3">
      <c r="B273" s="89"/>
      <c r="C273" t="s">
        <v>171</v>
      </c>
      <c r="D273" s="34">
        <f>E273-1</f>
        <v>2016</v>
      </c>
      <c r="E273" s="34">
        <f>F273-1</f>
        <v>2017</v>
      </c>
      <c r="F273" s="34">
        <f>YEAR($D$10)</f>
        <v>2018</v>
      </c>
      <c r="G273" s="33">
        <f>F273+1</f>
        <v>2019</v>
      </c>
      <c r="H273" s="33">
        <f>G273+1</f>
        <v>2020</v>
      </c>
      <c r="I273" s="33">
        <f>H273+1</f>
        <v>2021</v>
      </c>
      <c r="J273" s="33">
        <f>I273+1</f>
        <v>2022</v>
      </c>
      <c r="K273" s="33">
        <f>J273+1</f>
        <v>2023</v>
      </c>
      <c r="L273" s="33"/>
      <c r="M273" s="33"/>
      <c r="N273" s="89"/>
      <c r="O273" s="89"/>
    </row>
    <row r="274" spans="2:15" x14ac:dyDescent="0.3">
      <c r="B274" s="89"/>
      <c r="C274" s="29" t="s">
        <v>172</v>
      </c>
      <c r="D274" s="31">
        <f>EOMONTH(E274,-12)</f>
        <v>43008</v>
      </c>
      <c r="E274" s="31">
        <v>43372</v>
      </c>
      <c r="F274" s="31">
        <f>$D$10</f>
        <v>43372</v>
      </c>
      <c r="G274" s="31">
        <f>EOMONTH(F274,12)</f>
        <v>43738</v>
      </c>
      <c r="H274" s="31">
        <f>EOMONTH(G274,12)</f>
        <v>44104</v>
      </c>
      <c r="I274" s="31">
        <f>EOMONTH(H274,12)</f>
        <v>44469</v>
      </c>
      <c r="J274" s="31">
        <f>EOMONTH(I274,12)</f>
        <v>44834</v>
      </c>
      <c r="K274" s="31">
        <f>EOMONTH(J274,12)</f>
        <v>45199</v>
      </c>
      <c r="L274" s="155"/>
      <c r="M274" s="155"/>
      <c r="N274" s="89"/>
      <c r="O274" s="89"/>
    </row>
    <row r="275" spans="2:15" x14ac:dyDescent="0.3">
      <c r="B275" s="89"/>
      <c r="D275" s="91"/>
      <c r="E275" s="91"/>
      <c r="F275" s="91"/>
      <c r="G275" s="91"/>
      <c r="H275" s="91"/>
      <c r="I275" s="91"/>
      <c r="J275" s="91"/>
      <c r="K275" s="91"/>
      <c r="L275" s="91"/>
      <c r="M275" s="91"/>
      <c r="N275" s="89"/>
      <c r="O275" s="89"/>
    </row>
    <row r="276" spans="2:15" x14ac:dyDescent="0.3">
      <c r="B276" s="89"/>
      <c r="C276" t="s">
        <v>44</v>
      </c>
      <c r="D276" s="103">
        <f t="shared" ref="D276:K276" si="148">D29</f>
        <v>45687</v>
      </c>
      <c r="E276" s="103">
        <f t="shared" si="148"/>
        <v>48351</v>
      </c>
      <c r="F276" s="103">
        <f t="shared" si="148"/>
        <v>59531</v>
      </c>
      <c r="G276" s="103">
        <f t="shared" ca="1" si="148"/>
        <v>51863.79972323963</v>
      </c>
      <c r="H276" s="103">
        <f t="shared" ca="1" si="148"/>
        <v>54862.70670896965</v>
      </c>
      <c r="I276" s="103">
        <f t="shared" ca="1" si="148"/>
        <v>57575.502700759607</v>
      </c>
      <c r="J276" s="103">
        <f t="shared" ca="1" si="148"/>
        <v>60291.790594967519</v>
      </c>
      <c r="K276" s="103">
        <f t="shared" ca="1" si="148"/>
        <v>63604.447459889569</v>
      </c>
      <c r="L276" s="103"/>
      <c r="M276" s="103"/>
      <c r="N276" s="89"/>
      <c r="O276" s="89" t="s">
        <v>173</v>
      </c>
    </row>
    <row r="277" spans="2:15" x14ac:dyDescent="0.3">
      <c r="B277" s="89"/>
      <c r="C277" t="s">
        <v>174</v>
      </c>
      <c r="D277" s="129">
        <v>5470.82</v>
      </c>
      <c r="E277" s="129">
        <v>5217.2420000000002</v>
      </c>
      <c r="F277" s="129">
        <v>4955.3770000000004</v>
      </c>
      <c r="G277" s="103">
        <f ca="1">F277+(G284-G283)/G285</f>
        <v>4577.7690892979917</v>
      </c>
      <c r="H277" s="103">
        <f t="shared" ref="H277:K277" ca="1" si="149">G277+(H284-H283)/H285</f>
        <v>4250.617459330495</v>
      </c>
      <c r="I277" s="103">
        <f t="shared" ca="1" si="149"/>
        <v>3967.2383826369164</v>
      </c>
      <c r="J277" s="103">
        <f t="shared" ca="1" si="149"/>
        <v>3721.9367154432744</v>
      </c>
      <c r="K277" s="103">
        <f t="shared" ca="1" si="149"/>
        <v>3509.7605693271717</v>
      </c>
      <c r="L277" s="103"/>
      <c r="M277" s="103"/>
      <c r="N277" s="89"/>
      <c r="O277" s="89" t="s">
        <v>197</v>
      </c>
    </row>
    <row r="278" spans="2:15" x14ac:dyDescent="0.3">
      <c r="B278" s="89"/>
      <c r="C278" s="22" t="s">
        <v>175</v>
      </c>
      <c r="D278" s="104">
        <f>D276/D277</f>
        <v>8.3510333003096431</v>
      </c>
      <c r="E278" s="104">
        <f t="shared" ref="E278:F278" si="150">E276/E277</f>
        <v>9.2675402061088974</v>
      </c>
      <c r="F278" s="104">
        <f t="shared" si="150"/>
        <v>12.0134149228202</v>
      </c>
      <c r="G278" s="104">
        <f t="shared" ref="G278" ca="1" si="151">G276/G277</f>
        <v>11.329492316352948</v>
      </c>
      <c r="H278" s="104">
        <f t="shared" ref="H278" ca="1" si="152">H276/H277</f>
        <v>12.906996979589632</v>
      </c>
      <c r="I278" s="104">
        <f t="shared" ref="I278" ca="1" si="153">I276/I277</f>
        <v>14.512740891181519</v>
      </c>
      <c r="J278" s="104">
        <f t="shared" ref="J278" ca="1" si="154">J276/J277</f>
        <v>16.199037008018259</v>
      </c>
      <c r="K278" s="104">
        <f t="shared" ref="K278" ca="1" si="155">K276/K277</f>
        <v>18.122161384952442</v>
      </c>
      <c r="L278" s="104"/>
      <c r="M278" s="104"/>
      <c r="N278" s="89"/>
      <c r="O278" s="89" t="s">
        <v>176</v>
      </c>
    </row>
    <row r="279" spans="2:15" x14ac:dyDescent="0.3">
      <c r="B279" s="89"/>
      <c r="D279" s="89"/>
      <c r="E279" s="89"/>
      <c r="F279" s="89"/>
      <c r="G279" s="89"/>
      <c r="H279" s="89"/>
      <c r="I279" s="89"/>
      <c r="J279" s="89"/>
      <c r="K279" s="89"/>
      <c r="L279" s="89"/>
      <c r="M279" s="89"/>
      <c r="N279" s="89"/>
      <c r="O279" s="89"/>
    </row>
    <row r="280" spans="2:15" x14ac:dyDescent="0.3">
      <c r="B280" s="89"/>
      <c r="C280" t="s">
        <v>177</v>
      </c>
      <c r="D280" s="129">
        <v>5500.2809999999999</v>
      </c>
      <c r="E280" s="129">
        <v>5251.692</v>
      </c>
      <c r="F280" s="129">
        <v>5000.1090000000004</v>
      </c>
      <c r="G280" s="103">
        <f ca="1">F280-F277+G277</f>
        <v>4622.5010892979917</v>
      </c>
      <c r="H280" s="103">
        <f t="shared" ref="H280:K280" ca="1" si="156">G280-G277+H277</f>
        <v>4295.3494593304949</v>
      </c>
      <c r="I280" s="103">
        <f t="shared" ca="1" si="156"/>
        <v>4011.9703826369164</v>
      </c>
      <c r="J280" s="103">
        <f t="shared" ca="1" si="156"/>
        <v>3766.6687154432743</v>
      </c>
      <c r="K280" s="103">
        <f t="shared" ca="1" si="156"/>
        <v>3554.4925693271716</v>
      </c>
      <c r="L280" s="103"/>
      <c r="M280" s="103"/>
      <c r="N280" s="89"/>
      <c r="O280" s="89" t="s">
        <v>178</v>
      </c>
    </row>
    <row r="281" spans="2:15" x14ac:dyDescent="0.3">
      <c r="B281" s="89"/>
      <c r="C281" s="22" t="s">
        <v>179</v>
      </c>
      <c r="D281" s="104">
        <f>D276/D280</f>
        <v>8.3063028961611227</v>
      </c>
      <c r="E281" s="104">
        <f t="shared" ref="E281:K281" si="157">E276/E280</f>
        <v>9.2067470826545037</v>
      </c>
      <c r="F281" s="104">
        <f t="shared" si="157"/>
        <v>11.905940450498179</v>
      </c>
      <c r="G281" s="104">
        <f t="shared" ca="1" si="157"/>
        <v>11.219856679604604</v>
      </c>
      <c r="H281" s="104">
        <f t="shared" ca="1" si="157"/>
        <v>12.772582819727306</v>
      </c>
      <c r="I281" s="104">
        <f t="shared" ca="1" si="157"/>
        <v>14.350929146918928</v>
      </c>
      <c r="J281" s="104">
        <f t="shared" ca="1" si="157"/>
        <v>16.006661363069245</v>
      </c>
      <c r="K281" s="104">
        <f t="shared" ca="1" si="157"/>
        <v>17.894100555660813</v>
      </c>
      <c r="L281" s="104"/>
      <c r="M281" s="104"/>
      <c r="N281" s="89"/>
      <c r="O281" s="89" t="s">
        <v>180</v>
      </c>
    </row>
    <row r="282" spans="2:15" x14ac:dyDescent="0.3">
      <c r="B282" s="89"/>
      <c r="D282" s="89"/>
      <c r="E282" s="89"/>
      <c r="F282" s="89"/>
      <c r="G282" s="89"/>
      <c r="H282" s="89"/>
      <c r="I282" s="89"/>
      <c r="J282" s="89"/>
      <c r="K282" s="89"/>
      <c r="L282" s="89"/>
      <c r="M282" s="89"/>
      <c r="N282" s="89"/>
      <c r="O282" s="89"/>
    </row>
    <row r="283" spans="2:15" x14ac:dyDescent="0.3">
      <c r="B283" s="89"/>
      <c r="C283" t="s">
        <v>181</v>
      </c>
      <c r="D283" s="89"/>
      <c r="E283" s="89"/>
      <c r="F283" s="89"/>
      <c r="G283" s="103">
        <f>-G183</f>
        <v>73056</v>
      </c>
      <c r="H283" s="103">
        <f>-H183</f>
        <v>73056</v>
      </c>
      <c r="I283" s="103">
        <f>-I183</f>
        <v>73056</v>
      </c>
      <c r="J283" s="103">
        <f>-J183</f>
        <v>73056</v>
      </c>
      <c r="K283" s="103">
        <f>-K183</f>
        <v>73056</v>
      </c>
      <c r="L283" s="103"/>
      <c r="M283" s="103"/>
      <c r="N283" s="89"/>
      <c r="O283" s="89" t="s">
        <v>182</v>
      </c>
    </row>
    <row r="284" spans="2:15" x14ac:dyDescent="0.3">
      <c r="B284" s="89"/>
      <c r="C284" t="s">
        <v>183</v>
      </c>
      <c r="D284" s="89"/>
      <c r="E284" s="89"/>
      <c r="F284" s="89"/>
      <c r="G284" s="103">
        <f ca="1">G33</f>
        <v>5086.5760736384345</v>
      </c>
      <c r="H284" s="103">
        <f ca="1">H33</f>
        <v>5335.6125967281014</v>
      </c>
      <c r="I284" s="103">
        <f ca="1">I33</f>
        <v>5597.6107930936605</v>
      </c>
      <c r="J284" s="103">
        <f ca="1">J33</f>
        <v>5902.8288432365589</v>
      </c>
      <c r="K284" s="103">
        <f ca="1">K33</f>
        <v>6258.4669815641573</v>
      </c>
      <c r="L284" s="103"/>
      <c r="M284" s="103"/>
      <c r="N284" s="89"/>
      <c r="O284" s="89" t="s">
        <v>184</v>
      </c>
    </row>
    <row r="285" spans="2:15" x14ac:dyDescent="0.3">
      <c r="B285" s="89"/>
      <c r="C285" t="s">
        <v>185</v>
      </c>
      <c r="D285" s="89"/>
      <c r="E285" s="89"/>
      <c r="F285" s="89"/>
      <c r="G285" s="126">
        <v>180</v>
      </c>
      <c r="H285" s="105">
        <f>G285*(1+H286)</f>
        <v>206.99999999999997</v>
      </c>
      <c r="I285" s="105">
        <f t="shared" ref="I285:K285" si="158">H285*(1+I286)</f>
        <v>238.04999999999995</v>
      </c>
      <c r="J285" s="105">
        <f t="shared" si="158"/>
        <v>273.75749999999994</v>
      </c>
      <c r="K285" s="105">
        <f t="shared" si="158"/>
        <v>314.82112499999988</v>
      </c>
      <c r="L285" s="105"/>
      <c r="M285" s="105"/>
      <c r="N285" s="89"/>
      <c r="O285" s="89" t="s">
        <v>186</v>
      </c>
    </row>
    <row r="286" spans="2:15" x14ac:dyDescent="0.3">
      <c r="B286" s="89"/>
      <c r="C286" t="s">
        <v>187</v>
      </c>
      <c r="D286" s="89"/>
      <c r="E286" s="89"/>
      <c r="F286" s="89"/>
      <c r="G286" s="89"/>
      <c r="H286" s="127">
        <v>0.15</v>
      </c>
      <c r="I286" s="127">
        <v>0.15</v>
      </c>
      <c r="J286" s="127">
        <v>0.15</v>
      </c>
      <c r="K286" s="127">
        <v>0.15</v>
      </c>
      <c r="L286" s="127"/>
      <c r="M286" s="127"/>
      <c r="N286" s="89"/>
      <c r="O286" s="89" t="s">
        <v>188</v>
      </c>
    </row>
    <row r="287" spans="2:15" x14ac:dyDescent="0.3">
      <c r="B287" s="89"/>
      <c r="D287" s="89"/>
      <c r="E287" s="89"/>
      <c r="F287" s="89"/>
      <c r="G287" s="89"/>
      <c r="H287" s="89"/>
      <c r="I287" s="89"/>
      <c r="J287" s="89"/>
      <c r="K287" s="89"/>
      <c r="L287" s="89"/>
      <c r="M287" s="89"/>
      <c r="N287" s="89"/>
      <c r="O287" s="89"/>
    </row>
    <row r="288" spans="2:15" x14ac:dyDescent="0.3">
      <c r="B288" s="89"/>
      <c r="C288" s="22" t="s">
        <v>189</v>
      </c>
      <c r="D288" s="89"/>
      <c r="E288" s="89"/>
      <c r="F288" s="89"/>
      <c r="G288" s="106">
        <f>D11/1000</f>
        <v>4745.3980000000001</v>
      </c>
      <c r="H288" s="106">
        <f ca="1">G290</f>
        <v>4367.7900892979915</v>
      </c>
      <c r="I288" s="106">
        <f t="shared" ref="I288:K288" ca="1" si="159">H290</f>
        <v>4040.6384593304942</v>
      </c>
      <c r="J288" s="106">
        <f t="shared" ca="1" si="159"/>
        <v>3757.2593826369157</v>
      </c>
      <c r="K288" s="106">
        <f t="shared" ca="1" si="159"/>
        <v>3511.9577154432736</v>
      </c>
      <c r="L288" s="106"/>
      <c r="M288" s="106"/>
      <c r="N288" s="89"/>
      <c r="O288" s="89"/>
    </row>
    <row r="289" spans="2:15" x14ac:dyDescent="0.3">
      <c r="B289" s="89"/>
      <c r="C289" t="s">
        <v>190</v>
      </c>
      <c r="D289" s="89"/>
      <c r="E289" s="89"/>
      <c r="F289" s="89"/>
      <c r="G289" s="89">
        <f ca="1">(-G283+G284)/G285</f>
        <v>-377.60791070200867</v>
      </c>
      <c r="H289" s="89">
        <f ca="1">(-H283+H284)/H285</f>
        <v>-327.15162996749717</v>
      </c>
      <c r="I289" s="89">
        <f ca="1">(-I283+I284)/I285</f>
        <v>-283.3790766935785</v>
      </c>
      <c r="J289" s="89">
        <f ca="1">(-J283+J284)/J285</f>
        <v>-245.30166719364206</v>
      </c>
      <c r="K289" s="89">
        <f ca="1">(-K283+K284)/K285</f>
        <v>-212.17614611610281</v>
      </c>
      <c r="L289" s="89"/>
      <c r="M289" s="89"/>
      <c r="N289" s="89"/>
      <c r="O289" s="89"/>
    </row>
    <row r="290" spans="2:15" x14ac:dyDescent="0.3">
      <c r="B290" s="89"/>
      <c r="C290" t="s">
        <v>191</v>
      </c>
      <c r="D290" s="89"/>
      <c r="E290" s="89"/>
      <c r="F290" s="89"/>
      <c r="G290" s="128">
        <f ca="1">SUM(G288:G289)</f>
        <v>4367.7900892979915</v>
      </c>
      <c r="H290" s="128">
        <f t="shared" ref="H290:K290" ca="1" si="160">SUM(H288:H289)</f>
        <v>4040.6384593304942</v>
      </c>
      <c r="I290" s="128">
        <f t="shared" ca="1" si="160"/>
        <v>3757.2593826369157</v>
      </c>
      <c r="J290" s="128">
        <f t="shared" ca="1" si="160"/>
        <v>3511.9577154432736</v>
      </c>
      <c r="K290" s="128">
        <f t="shared" ca="1" si="160"/>
        <v>3299.7815693271709</v>
      </c>
      <c r="L290" s="128"/>
      <c r="M290" s="128"/>
      <c r="N290" s="89"/>
      <c r="O290" s="89"/>
    </row>
    <row r="291" spans="2:15" x14ac:dyDescent="0.3">
      <c r="B291" s="89"/>
      <c r="C291" s="22" t="s">
        <v>192</v>
      </c>
      <c r="D291" s="89"/>
      <c r="E291" s="89"/>
      <c r="F291" s="89"/>
      <c r="G291" s="50">
        <f ca="1">AVERAGE(G288,G290)</f>
        <v>4556.5940446489958</v>
      </c>
      <c r="H291" s="50">
        <f t="shared" ref="H291:K291" ca="1" si="161">AVERAGE(H288,H290)</f>
        <v>4204.2142743142431</v>
      </c>
      <c r="I291" s="50">
        <f t="shared" ca="1" si="161"/>
        <v>3898.9489209837047</v>
      </c>
      <c r="J291" s="50">
        <f t="shared" ca="1" si="161"/>
        <v>3634.6085490400947</v>
      </c>
      <c r="K291" s="50">
        <f t="shared" ca="1" si="161"/>
        <v>3405.8696423852225</v>
      </c>
      <c r="L291" s="50"/>
      <c r="M291" s="50"/>
      <c r="N291" s="89"/>
      <c r="O291" s="89"/>
    </row>
  </sheetData>
  <dataConsolidate/>
  <mergeCells count="4">
    <mergeCell ref="G14:K14"/>
    <mergeCell ref="E226:I226"/>
    <mergeCell ref="E98:F98"/>
    <mergeCell ref="G98:K98"/>
  </mergeCells>
  <phoneticPr fontId="17" type="noConversion"/>
  <conditionalFormatting sqref="C40:F40">
    <cfRule type="expression" dxfId="1" priority="3">
      <formula>#REF!=$C40</formula>
    </cfRule>
  </conditionalFormatting>
  <dataValidations disablePrompts="1" count="4">
    <dataValidation type="list" allowBlank="1" showInputMessage="1" showErrorMessage="1" sqref="D7" xr:uid="{57C7FB5D-FCB5-4FC4-9876-B7816D6C50D2}">
      <formula1>"1,0"</formula1>
    </dataValidation>
    <dataValidation type="list" allowBlank="1" showInputMessage="1" showErrorMessage="1" sqref="D12" xr:uid="{3D2AA034-3DFB-4214-8A96-87E1CEA1B39A}">
      <formula1>$C$246:$C$248</formula1>
    </dataValidation>
    <dataValidation type="list" allowBlank="1" showInputMessage="1" showErrorMessage="1" sqref="G105 G115" xr:uid="{7B906C12-AF53-4BB6-B923-E3D7EBD6576B}">
      <formula1>"1,2"</formula1>
    </dataValidation>
    <dataValidation type="list" allowBlank="1" showInputMessage="1" showErrorMessage="1" sqref="E161" xr:uid="{3AA4021A-C75A-4456-8527-66869DE74D1B}">
      <formula1>"0.5,1"</formula1>
    </dataValidation>
  </dataValidations>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4A09B-5C85-4BA9-BC53-4A7F8B161F93}">
  <dimension ref="C2:N41"/>
  <sheetViews>
    <sheetView zoomScaleNormal="100" workbookViewId="0">
      <selection activeCell="A2" sqref="A2"/>
    </sheetView>
  </sheetViews>
  <sheetFormatPr defaultRowHeight="14.4" x14ac:dyDescent="0.3"/>
  <cols>
    <col min="1" max="2" width="1.77734375" customWidth="1"/>
    <col min="3" max="3" width="28.6640625" bestFit="1" customWidth="1"/>
    <col min="4" max="11" width="8.77734375" customWidth="1"/>
    <col min="12" max="12" width="2.109375" customWidth="1"/>
  </cols>
  <sheetData>
    <row r="2" spans="3:14" x14ac:dyDescent="0.3">
      <c r="C2" s="30" t="s">
        <v>199</v>
      </c>
      <c r="D2" s="29"/>
      <c r="E2" s="29"/>
      <c r="F2" s="29"/>
      <c r="G2" s="29"/>
      <c r="H2" s="29"/>
      <c r="I2" s="29"/>
      <c r="J2" s="29"/>
      <c r="K2" s="29"/>
      <c r="N2" t="s">
        <v>217</v>
      </c>
    </row>
    <row r="3" spans="3:14" x14ac:dyDescent="0.3">
      <c r="C3" t="s">
        <v>69</v>
      </c>
      <c r="D3" s="34">
        <v>2016</v>
      </c>
      <c r="E3" s="34">
        <v>2017</v>
      </c>
      <c r="F3" s="34">
        <v>2018</v>
      </c>
      <c r="G3" s="33">
        <v>2019</v>
      </c>
      <c r="H3" s="33">
        <v>2020</v>
      </c>
      <c r="I3" s="33">
        <v>2021</v>
      </c>
      <c r="J3" s="33">
        <v>2022</v>
      </c>
      <c r="K3" s="33">
        <v>2023</v>
      </c>
      <c r="N3" t="s">
        <v>218</v>
      </c>
    </row>
    <row r="4" spans="3:14" x14ac:dyDescent="0.3">
      <c r="C4" s="32" t="s">
        <v>68</v>
      </c>
      <c r="D4" s="31">
        <v>43008</v>
      </c>
      <c r="E4" s="31">
        <v>43372</v>
      </c>
      <c r="F4" s="31">
        <v>43372</v>
      </c>
      <c r="G4" s="31">
        <v>43738</v>
      </c>
      <c r="H4" s="31">
        <v>44104</v>
      </c>
      <c r="I4" s="31">
        <v>44469</v>
      </c>
      <c r="J4" s="31">
        <v>44834</v>
      </c>
      <c r="K4" s="31">
        <v>45199</v>
      </c>
    </row>
    <row r="5" spans="3:14" x14ac:dyDescent="0.3">
      <c r="C5" s="22" t="s">
        <v>200</v>
      </c>
    </row>
    <row r="6" spans="3:14" x14ac:dyDescent="0.3">
      <c r="C6" s="21" t="s">
        <v>201</v>
      </c>
    </row>
    <row r="7" spans="3:14" x14ac:dyDescent="0.3">
      <c r="C7" t="s">
        <v>202</v>
      </c>
      <c r="D7" s="140">
        <v>136700</v>
      </c>
      <c r="E7" s="140">
        <v>141319</v>
      </c>
      <c r="F7" s="140">
        <v>166699</v>
      </c>
      <c r="G7" s="131">
        <f ca="1">G17*G22/1000</f>
        <v>137570.4</v>
      </c>
      <c r="H7" s="131">
        <f t="shared" ref="H7:K7" ca="1" si="0">H17*H22/1000</f>
        <v>138388</v>
      </c>
      <c r="I7" s="131">
        <f t="shared" ca="1" si="0"/>
        <v>138388</v>
      </c>
      <c r="J7" s="131">
        <f t="shared" ca="1" si="0"/>
        <v>138388</v>
      </c>
      <c r="K7" s="131">
        <f t="shared" ca="1" si="0"/>
        <v>138388</v>
      </c>
    </row>
    <row r="8" spans="3:14" x14ac:dyDescent="0.3">
      <c r="C8" t="s">
        <v>203</v>
      </c>
      <c r="D8" s="140">
        <v>20628</v>
      </c>
      <c r="E8" s="140">
        <v>19222</v>
      </c>
      <c r="F8" s="140">
        <v>18805</v>
      </c>
      <c r="G8" s="131">
        <f t="shared" ref="G8:K9" si="1">G18*G23/1000</f>
        <v>20222.921699999999</v>
      </c>
      <c r="H8" s="131">
        <f t="shared" si="1"/>
        <v>20475.904200000001</v>
      </c>
      <c r="I8" s="131">
        <f t="shared" si="1"/>
        <v>20475.904200000001</v>
      </c>
      <c r="J8" s="131">
        <f t="shared" si="1"/>
        <v>20475.904200000001</v>
      </c>
      <c r="K8" s="131">
        <f t="shared" si="1"/>
        <v>20475.904200000001</v>
      </c>
    </row>
    <row r="9" spans="3:14" x14ac:dyDescent="0.3">
      <c r="C9" t="s">
        <v>204</v>
      </c>
      <c r="D9" s="140">
        <v>22831</v>
      </c>
      <c r="E9" s="140">
        <v>25850</v>
      </c>
      <c r="F9" s="140">
        <v>25484</v>
      </c>
      <c r="G9" s="131">
        <f t="shared" si="1"/>
        <v>26515.16</v>
      </c>
      <c r="H9" s="131">
        <f t="shared" si="1"/>
        <v>26642.880000000001</v>
      </c>
      <c r="I9" s="131">
        <f t="shared" si="1"/>
        <v>26642.880000000001</v>
      </c>
      <c r="J9" s="131">
        <f t="shared" si="1"/>
        <v>26642.880000000001</v>
      </c>
      <c r="K9" s="131">
        <f t="shared" si="1"/>
        <v>26642.880000000001</v>
      </c>
    </row>
    <row r="10" spans="3:14" x14ac:dyDescent="0.3">
      <c r="D10" s="91"/>
      <c r="E10" s="91"/>
      <c r="F10" s="91"/>
      <c r="G10" s="91"/>
      <c r="H10" s="91"/>
      <c r="I10" s="91"/>
      <c r="J10" s="91"/>
      <c r="K10" s="91"/>
    </row>
    <row r="11" spans="3:14" x14ac:dyDescent="0.3">
      <c r="C11" t="s">
        <v>205</v>
      </c>
      <c r="D11" s="140">
        <v>24348</v>
      </c>
      <c r="E11" s="140">
        <v>29980</v>
      </c>
      <c r="F11" s="140">
        <v>37190</v>
      </c>
      <c r="G11" s="141">
        <v>45603</v>
      </c>
      <c r="H11" s="141">
        <v>53592</v>
      </c>
      <c r="I11" s="131">
        <f>H11*(1+I40)</f>
        <v>62980.559700019738</v>
      </c>
      <c r="J11" s="131">
        <f t="shared" ref="J11:K11" si="2">I11*(1+J40)</f>
        <v>74013.862145987281</v>
      </c>
      <c r="K11" s="131">
        <f t="shared" si="2"/>
        <v>86980.042982429892</v>
      </c>
      <c r="M11" t="s">
        <v>216</v>
      </c>
    </row>
    <row r="12" spans="3:14" x14ac:dyDescent="0.3">
      <c r="C12" t="s">
        <v>206</v>
      </c>
      <c r="D12" s="140">
        <v>11132</v>
      </c>
      <c r="E12" s="140">
        <v>12863</v>
      </c>
      <c r="F12" s="140">
        <v>17417</v>
      </c>
      <c r="G12" s="141">
        <v>23079</v>
      </c>
      <c r="H12" s="141">
        <v>26278</v>
      </c>
      <c r="I12" s="131">
        <f t="shared" ref="I12:K12" si="3">H12*(1+I41)</f>
        <v>29920.416135881103</v>
      </c>
      <c r="J12" s="131">
        <f t="shared" si="3"/>
        <v>34067.710698846728</v>
      </c>
      <c r="K12" s="131">
        <f t="shared" si="3"/>
        <v>38789.865321040525</v>
      </c>
      <c r="M12" t="s">
        <v>216</v>
      </c>
    </row>
    <row r="13" spans="3:14" x14ac:dyDescent="0.3">
      <c r="C13" s="22" t="s">
        <v>207</v>
      </c>
      <c r="D13" s="130">
        <f>SUM(D7:D9,D11:D12)</f>
        <v>215639</v>
      </c>
      <c r="E13" s="130">
        <f t="shared" ref="E13:K13" si="4">SUM(E7:E9,E11:E12)</f>
        <v>229234</v>
      </c>
      <c r="F13" s="130">
        <f t="shared" si="4"/>
        <v>265595</v>
      </c>
      <c r="G13" s="132">
        <f t="shared" ca="1" si="4"/>
        <v>252990.4817</v>
      </c>
      <c r="H13" s="132">
        <f t="shared" ca="1" si="4"/>
        <v>265376.78419999999</v>
      </c>
      <c r="I13" s="132">
        <f t="shared" ca="1" si="4"/>
        <v>278407.76003590086</v>
      </c>
      <c r="J13" s="132">
        <f t="shared" ca="1" si="4"/>
        <v>293588.357044834</v>
      </c>
      <c r="K13" s="132">
        <f t="shared" ca="1" si="4"/>
        <v>311276.6925034704</v>
      </c>
    </row>
    <row r="14" spans="3:14" x14ac:dyDescent="0.3">
      <c r="C14" t="s">
        <v>208</v>
      </c>
      <c r="D14" s="91"/>
      <c r="E14" s="133">
        <f>E13/D13-1</f>
        <v>6.304518199398057E-2</v>
      </c>
      <c r="F14" s="133">
        <f t="shared" ref="F14:K14" si="5">F13/E13-1</f>
        <v>0.15861957650261305</v>
      </c>
      <c r="G14" s="133">
        <f t="shared" ca="1" si="5"/>
        <v>-4.7457664112652731E-2</v>
      </c>
      <c r="H14" s="133">
        <f t="shared" ca="1" si="5"/>
        <v>4.8959559335073566E-2</v>
      </c>
      <c r="I14" s="133">
        <f t="shared" ca="1" si="5"/>
        <v>4.9103676778599281E-2</v>
      </c>
      <c r="J14" s="133">
        <f t="shared" ca="1" si="5"/>
        <v>5.452648664310078E-2</v>
      </c>
      <c r="K14" s="133">
        <f t="shared" ca="1" si="5"/>
        <v>6.0248763393349503E-2</v>
      </c>
    </row>
    <row r="15" spans="3:14" x14ac:dyDescent="0.3">
      <c r="D15" s="91"/>
      <c r="E15" s="91"/>
      <c r="F15" s="91"/>
      <c r="G15" s="152"/>
      <c r="H15" s="91"/>
      <c r="I15" s="91"/>
      <c r="J15" s="91"/>
      <c r="K15" s="91"/>
    </row>
    <row r="16" spans="3:14" x14ac:dyDescent="0.3">
      <c r="C16" s="22" t="s">
        <v>209</v>
      </c>
      <c r="D16" s="91"/>
      <c r="E16" s="91"/>
      <c r="F16" s="91"/>
      <c r="G16" s="91"/>
      <c r="H16" s="91"/>
      <c r="I16" s="91"/>
      <c r="J16" s="91"/>
      <c r="K16" s="91"/>
    </row>
    <row r="17" spans="3:13" x14ac:dyDescent="0.3">
      <c r="C17" t="s">
        <v>202</v>
      </c>
      <c r="D17" s="140">
        <v>211884</v>
      </c>
      <c r="E17" s="140">
        <v>216756</v>
      </c>
      <c r="F17" s="140">
        <v>217722</v>
      </c>
      <c r="G17" s="154">
        <f ca="1">'3-statement model'!G239</f>
        <v>173700</v>
      </c>
      <c r="H17" s="154">
        <f ca="1">'3-statement model'!H239</f>
        <v>190880</v>
      </c>
      <c r="I17" s="154">
        <f ca="1">'3-statement model'!I239</f>
        <v>190880</v>
      </c>
      <c r="J17" s="154">
        <f ca="1">'3-statement model'!J239</f>
        <v>190880</v>
      </c>
      <c r="K17" s="154">
        <f ca="1">'3-statement model'!K239</f>
        <v>190880</v>
      </c>
      <c r="M17" t="s">
        <v>215</v>
      </c>
    </row>
    <row r="18" spans="3:13" x14ac:dyDescent="0.3">
      <c r="C18" t="s">
        <v>203</v>
      </c>
      <c r="D18" s="140">
        <v>45590</v>
      </c>
      <c r="E18" s="140">
        <v>43753</v>
      </c>
      <c r="F18" s="140">
        <v>43535</v>
      </c>
      <c r="G18" s="141">
        <v>46170</v>
      </c>
      <c r="H18" s="141">
        <v>49260</v>
      </c>
      <c r="I18" s="131">
        <f>H18</f>
        <v>49260</v>
      </c>
      <c r="J18" s="131">
        <f t="shared" ref="J18:K18" si="6">I18</f>
        <v>49260</v>
      </c>
      <c r="K18" s="131">
        <f t="shared" si="6"/>
        <v>49260</v>
      </c>
      <c r="M18" t="s">
        <v>215</v>
      </c>
    </row>
    <row r="19" spans="3:13" x14ac:dyDescent="0.3">
      <c r="C19" t="s">
        <v>204</v>
      </c>
      <c r="D19" s="140">
        <v>18484</v>
      </c>
      <c r="E19" s="140">
        <v>19251</v>
      </c>
      <c r="F19" s="140">
        <v>18209</v>
      </c>
      <c r="G19" s="141">
        <v>19670</v>
      </c>
      <c r="H19" s="141">
        <v>19140</v>
      </c>
      <c r="I19" s="131">
        <f>H19</f>
        <v>19140</v>
      </c>
      <c r="J19" s="131">
        <f t="shared" ref="J19:K19" si="7">I19</f>
        <v>19140</v>
      </c>
      <c r="K19" s="131">
        <f t="shared" si="7"/>
        <v>19140</v>
      </c>
      <c r="M19" t="s">
        <v>215</v>
      </c>
    </row>
    <row r="20" spans="3:13" x14ac:dyDescent="0.3">
      <c r="D20" s="91"/>
      <c r="E20" s="91"/>
      <c r="F20" s="91"/>
      <c r="G20" s="91"/>
      <c r="H20" s="91"/>
      <c r="I20" s="91"/>
      <c r="J20" s="91"/>
      <c r="K20" s="91"/>
    </row>
    <row r="21" spans="3:13" x14ac:dyDescent="0.3">
      <c r="C21" s="22" t="s">
        <v>210</v>
      </c>
      <c r="D21" s="91"/>
      <c r="E21" s="91"/>
      <c r="F21" s="91"/>
      <c r="G21" s="91"/>
      <c r="H21" s="91"/>
      <c r="I21" s="91"/>
      <c r="J21" s="91"/>
      <c r="K21" s="91"/>
    </row>
    <row r="22" spans="3:13" x14ac:dyDescent="0.3">
      <c r="C22" t="s">
        <v>202</v>
      </c>
      <c r="D22" s="134">
        <f>1000*D7/D17</f>
        <v>645.16433520228054</v>
      </c>
      <c r="E22" s="134">
        <f t="shared" ref="E22" si="8">1000*E7/E17</f>
        <v>651.97272509180834</v>
      </c>
      <c r="F22" s="134">
        <f>1000*F7/F17</f>
        <v>765.65069216707548</v>
      </c>
      <c r="G22" s="153">
        <f ca="1">'3-statement model'!G240</f>
        <v>792</v>
      </c>
      <c r="H22" s="153">
        <f ca="1">'3-statement model'!H240</f>
        <v>725</v>
      </c>
      <c r="I22" s="153">
        <f ca="1">'3-statement model'!I240</f>
        <v>725</v>
      </c>
      <c r="J22" s="153">
        <f ca="1">'3-statement model'!J240</f>
        <v>725</v>
      </c>
      <c r="K22" s="153">
        <f ca="1">'3-statement model'!K240</f>
        <v>725</v>
      </c>
      <c r="M22" t="s">
        <v>215</v>
      </c>
    </row>
    <row r="23" spans="3:13" x14ac:dyDescent="0.3">
      <c r="C23" t="s">
        <v>203</v>
      </c>
      <c r="D23" s="134">
        <f t="shared" ref="D23:F24" si="9">1000*D8/D18</f>
        <v>452.46764641368719</v>
      </c>
      <c r="E23" s="134">
        <f t="shared" si="9"/>
        <v>439.32987452288984</v>
      </c>
      <c r="F23" s="134">
        <f t="shared" si="9"/>
        <v>431.95130354886874</v>
      </c>
      <c r="G23" s="144">
        <v>438.01</v>
      </c>
      <c r="H23" s="144">
        <v>415.67</v>
      </c>
      <c r="I23" s="135">
        <f t="shared" ref="I23:K24" si="10">H23</f>
        <v>415.67</v>
      </c>
      <c r="J23" s="135">
        <f t="shared" si="10"/>
        <v>415.67</v>
      </c>
      <c r="K23" s="135">
        <f t="shared" si="10"/>
        <v>415.67</v>
      </c>
      <c r="M23" t="s">
        <v>215</v>
      </c>
    </row>
    <row r="24" spans="3:13" x14ac:dyDescent="0.3">
      <c r="C24" t="s">
        <v>204</v>
      </c>
      <c r="D24" s="134">
        <f t="shared" si="9"/>
        <v>1235.1763687513526</v>
      </c>
      <c r="E24" s="134">
        <f t="shared" si="9"/>
        <v>1342.7873876681731</v>
      </c>
      <c r="F24" s="134">
        <f t="shared" si="9"/>
        <v>1399.5277060794112</v>
      </c>
      <c r="G24" s="144">
        <v>1348</v>
      </c>
      <c r="H24" s="144">
        <v>1392</v>
      </c>
      <c r="I24" s="135">
        <f t="shared" si="10"/>
        <v>1392</v>
      </c>
      <c r="J24" s="135">
        <f t="shared" si="10"/>
        <v>1392</v>
      </c>
      <c r="K24" s="135">
        <f t="shared" si="10"/>
        <v>1392</v>
      </c>
      <c r="M24" t="s">
        <v>215</v>
      </c>
    </row>
    <row r="25" spans="3:13" x14ac:dyDescent="0.3">
      <c r="D25" s="91"/>
      <c r="E25" s="91"/>
      <c r="F25" s="91"/>
      <c r="G25" s="136"/>
      <c r="H25" s="136"/>
      <c r="I25" s="136"/>
      <c r="J25" s="136"/>
      <c r="K25" s="136"/>
    </row>
    <row r="26" spans="3:13" x14ac:dyDescent="0.3">
      <c r="C26" s="22" t="s">
        <v>211</v>
      </c>
      <c r="D26" s="91"/>
      <c r="E26" s="91"/>
      <c r="F26" s="91"/>
      <c r="G26" s="136"/>
      <c r="H26" s="136"/>
      <c r="I26" s="136"/>
      <c r="J26" s="136"/>
      <c r="K26" s="136"/>
    </row>
    <row r="27" spans="3:13" x14ac:dyDescent="0.3">
      <c r="C27" t="s">
        <v>202</v>
      </c>
      <c r="D27" s="91"/>
      <c r="E27" s="137">
        <f>E17/D17-1</f>
        <v>2.2993713541371585E-2</v>
      </c>
      <c r="F27" s="142">
        <f t="shared" ref="F27:F29" si="11">F17/E17-1</f>
        <v>4.4566240380889965E-3</v>
      </c>
      <c r="G27" s="143">
        <f t="shared" ref="G27:G29" ca="1" si="12">G17/F17-1</f>
        <v>-0.20219362306060018</v>
      </c>
      <c r="H27" s="143">
        <f t="shared" ref="H27:H29" ca="1" si="13">H17/G17-1</f>
        <v>9.8906160046056346E-2</v>
      </c>
      <c r="I27" s="143">
        <f t="shared" ref="I27:I29" ca="1" si="14">I17/H17-1</f>
        <v>0</v>
      </c>
      <c r="J27" s="143">
        <f t="shared" ref="J27:J29" ca="1" si="15">J17/I17-1</f>
        <v>0</v>
      </c>
      <c r="K27" s="143">
        <f t="shared" ref="K27:K29" ca="1" si="16">K17/J17-1</f>
        <v>0</v>
      </c>
    </row>
    <row r="28" spans="3:13" x14ac:dyDescent="0.3">
      <c r="C28" t="s">
        <v>203</v>
      </c>
      <c r="D28" s="91"/>
      <c r="E28" s="137">
        <f t="shared" ref="E28:E29" si="17">E18/D18-1</f>
        <v>-4.0293924106163614E-2</v>
      </c>
      <c r="F28" s="142">
        <f t="shared" si="11"/>
        <v>-4.98251548465245E-3</v>
      </c>
      <c r="G28" s="143">
        <f t="shared" si="12"/>
        <v>6.052601355231424E-2</v>
      </c>
      <c r="H28" s="143">
        <f t="shared" si="13"/>
        <v>6.6926575698505575E-2</v>
      </c>
      <c r="I28" s="143">
        <f t="shared" si="14"/>
        <v>0</v>
      </c>
      <c r="J28" s="143">
        <f t="shared" si="15"/>
        <v>0</v>
      </c>
      <c r="K28" s="143">
        <f t="shared" si="16"/>
        <v>0</v>
      </c>
    </row>
    <row r="29" spans="3:13" x14ac:dyDescent="0.3">
      <c r="C29" t="s">
        <v>204</v>
      </c>
      <c r="D29" s="91"/>
      <c r="E29" s="137">
        <f t="shared" si="17"/>
        <v>4.1495347327418219E-2</v>
      </c>
      <c r="F29" s="142">
        <f t="shared" si="11"/>
        <v>-5.4127058334631939E-2</v>
      </c>
      <c r="G29" s="143">
        <f t="shared" si="12"/>
        <v>8.0235048602339543E-2</v>
      </c>
      <c r="H29" s="143">
        <f t="shared" si="13"/>
        <v>-2.6944585663446818E-2</v>
      </c>
      <c r="I29" s="143">
        <f t="shared" si="14"/>
        <v>0</v>
      </c>
      <c r="J29" s="143">
        <f t="shared" si="15"/>
        <v>0</v>
      </c>
      <c r="K29" s="143">
        <f t="shared" si="16"/>
        <v>0</v>
      </c>
    </row>
    <row r="30" spans="3:13" x14ac:dyDescent="0.3">
      <c r="D30" s="91"/>
      <c r="E30" s="139"/>
      <c r="F30" s="139"/>
      <c r="G30" s="136"/>
      <c r="H30" s="136"/>
      <c r="I30" s="136"/>
      <c r="J30" s="136"/>
      <c r="K30" s="136"/>
    </row>
    <row r="31" spans="3:13" x14ac:dyDescent="0.3">
      <c r="C31" s="22" t="s">
        <v>212</v>
      </c>
      <c r="D31" s="91"/>
      <c r="E31" s="139"/>
      <c r="F31" s="139"/>
      <c r="G31" s="136"/>
      <c r="H31" s="136"/>
      <c r="I31" s="136"/>
      <c r="J31" s="136"/>
      <c r="K31" s="136"/>
    </row>
    <row r="32" spans="3:13" x14ac:dyDescent="0.3">
      <c r="C32" t="s">
        <v>202</v>
      </c>
      <c r="D32" s="91"/>
      <c r="E32" s="137">
        <f>E22/D22-1</f>
        <v>1.0552954523428637E-2</v>
      </c>
      <c r="F32" s="142">
        <f t="shared" ref="F32:F34" si="18">F22/E22-1</f>
        <v>0.17436000418462205</v>
      </c>
      <c r="G32" s="143">
        <f t="shared" ref="G32:G34" ca="1" si="19">G22/F22-1</f>
        <v>3.4414267632079332E-2</v>
      </c>
      <c r="H32" s="143">
        <f t="shared" ref="H32:H34" ca="1" si="20">H22/G22-1</f>
        <v>-8.4595959595959558E-2</v>
      </c>
      <c r="I32" s="143">
        <f t="shared" ref="I32:I34" ca="1" si="21">I22/H22-1</f>
        <v>0</v>
      </c>
      <c r="J32" s="143">
        <f t="shared" ref="J32:J34" ca="1" si="22">J22/I22-1</f>
        <v>0</v>
      </c>
      <c r="K32" s="143">
        <f t="shared" ref="K32:K34" ca="1" si="23">K22/J22-1</f>
        <v>0</v>
      </c>
    </row>
    <row r="33" spans="3:11" x14ac:dyDescent="0.3">
      <c r="C33" t="s">
        <v>203</v>
      </c>
      <c r="D33" s="91"/>
      <c r="E33" s="137">
        <f t="shared" ref="E33:E34" si="24">E23/D23-1</f>
        <v>-2.9035826085972993E-2</v>
      </c>
      <c r="F33" s="142">
        <f t="shared" si="18"/>
        <v>-1.6795058569677779E-2</v>
      </c>
      <c r="G33" s="143">
        <f t="shared" si="19"/>
        <v>1.4026341398564179E-2</v>
      </c>
      <c r="H33" s="143">
        <f t="shared" si="20"/>
        <v>-5.1003401748818455E-2</v>
      </c>
      <c r="I33" s="143">
        <f t="shared" si="21"/>
        <v>0</v>
      </c>
      <c r="J33" s="143">
        <f t="shared" si="22"/>
        <v>0</v>
      </c>
      <c r="K33" s="143">
        <f t="shared" si="23"/>
        <v>0</v>
      </c>
    </row>
    <row r="34" spans="3:11" x14ac:dyDescent="0.3">
      <c r="C34" t="s">
        <v>204</v>
      </c>
      <c r="D34" s="91"/>
      <c r="E34" s="137">
        <f t="shared" si="24"/>
        <v>8.7121986494613113E-2</v>
      </c>
      <c r="F34" s="142">
        <f t="shared" si="18"/>
        <v>4.2255623587417634E-2</v>
      </c>
      <c r="G34" s="143">
        <f t="shared" si="19"/>
        <v>-3.6817924972531779E-2</v>
      </c>
      <c r="H34" s="143">
        <f t="shared" si="20"/>
        <v>3.2640949554896048E-2</v>
      </c>
      <c r="I34" s="143">
        <f t="shared" si="21"/>
        <v>0</v>
      </c>
      <c r="J34" s="143">
        <f t="shared" si="22"/>
        <v>0</v>
      </c>
      <c r="K34" s="143">
        <f t="shared" si="23"/>
        <v>0</v>
      </c>
    </row>
    <row r="35" spans="3:11" x14ac:dyDescent="0.3">
      <c r="D35" s="91"/>
      <c r="E35" s="139"/>
      <c r="F35" s="139"/>
      <c r="G35" s="136"/>
      <c r="H35" s="136"/>
      <c r="I35" s="136"/>
      <c r="J35" s="136"/>
      <c r="K35" s="136"/>
    </row>
    <row r="36" spans="3:11" x14ac:dyDescent="0.3">
      <c r="C36" s="22" t="s">
        <v>213</v>
      </c>
      <c r="D36" s="91"/>
      <c r="E36" s="139"/>
      <c r="F36" s="139"/>
      <c r="G36" s="136"/>
      <c r="H36" s="136"/>
      <c r="I36" s="136"/>
      <c r="J36" s="136"/>
      <c r="K36" s="136"/>
    </row>
    <row r="37" spans="3:11" x14ac:dyDescent="0.3">
      <c r="C37" t="s">
        <v>202</v>
      </c>
      <c r="D37" s="91"/>
      <c r="E37" s="137">
        <f t="shared" ref="E37:F39" si="25">E7/D7-1</f>
        <v>3.3789319678127372E-2</v>
      </c>
      <c r="F37" s="142">
        <f>F7/E7-1</f>
        <v>0.1795936852086415</v>
      </c>
      <c r="G37" s="143">
        <f t="shared" ref="G37:K39" ca="1" si="26">G7/F7-1</f>
        <v>-0.17473770088602814</v>
      </c>
      <c r="H37" s="143">
        <f t="shared" ca="1" si="26"/>
        <v>5.9431389310491411E-3</v>
      </c>
      <c r="I37" s="143">
        <f t="shared" ca="1" si="26"/>
        <v>0</v>
      </c>
      <c r="J37" s="143">
        <f t="shared" ca="1" si="26"/>
        <v>0</v>
      </c>
      <c r="K37" s="143">
        <f t="shared" ca="1" si="26"/>
        <v>0</v>
      </c>
    </row>
    <row r="38" spans="3:11" x14ac:dyDescent="0.3">
      <c r="C38" t="s">
        <v>203</v>
      </c>
      <c r="D38" s="91"/>
      <c r="E38" s="137">
        <f t="shared" si="25"/>
        <v>-6.8159782819468662E-2</v>
      </c>
      <c r="F38" s="142">
        <f t="shared" si="25"/>
        <v>-2.169389241494124E-2</v>
      </c>
      <c r="G38" s="143">
        <f t="shared" si="26"/>
        <v>7.5401313480457199E-2</v>
      </c>
      <c r="H38" s="143">
        <f t="shared" si="26"/>
        <v>1.2509690921663541E-2</v>
      </c>
      <c r="I38" s="143">
        <f t="shared" si="26"/>
        <v>0</v>
      </c>
      <c r="J38" s="143">
        <f t="shared" si="26"/>
        <v>0</v>
      </c>
      <c r="K38" s="143">
        <f t="shared" si="26"/>
        <v>0</v>
      </c>
    </row>
    <row r="39" spans="3:11" x14ac:dyDescent="0.3">
      <c r="C39" t="s">
        <v>204</v>
      </c>
      <c r="D39" s="91"/>
      <c r="E39" s="137">
        <f t="shared" si="25"/>
        <v>0.13223249091148004</v>
      </c>
      <c r="F39" s="142">
        <f t="shared" si="25"/>
        <v>-1.4158607350096664E-2</v>
      </c>
      <c r="G39" s="143">
        <f t="shared" si="26"/>
        <v>4.0463035630199373E-2</v>
      </c>
      <c r="H39" s="143">
        <f t="shared" si="26"/>
        <v>4.8168670300312577E-3</v>
      </c>
      <c r="I39" s="143">
        <f t="shared" si="26"/>
        <v>0</v>
      </c>
      <c r="J39" s="143">
        <f t="shared" si="26"/>
        <v>0</v>
      </c>
      <c r="K39" s="143">
        <f t="shared" si="26"/>
        <v>0</v>
      </c>
    </row>
    <row r="40" spans="3:11" x14ac:dyDescent="0.3">
      <c r="C40" t="s">
        <v>214</v>
      </c>
      <c r="D40" s="91"/>
      <c r="E40" s="137">
        <f>E11/D11-1</f>
        <v>0.23131263348118947</v>
      </c>
      <c r="F40" s="137">
        <f>F11/E11-1</f>
        <v>0.24049366244162784</v>
      </c>
      <c r="G40" s="133">
        <f t="shared" ref="G40:H41" si="27">G11/F11-1</f>
        <v>0.22621672492605538</v>
      </c>
      <c r="H40" s="133">
        <f t="shared" si="27"/>
        <v>0.17518584303664242</v>
      </c>
      <c r="I40" s="138">
        <f>H40</f>
        <v>0.17518584303664242</v>
      </c>
      <c r="J40" s="138">
        <f t="shared" ref="J40:K40" si="28">I40</f>
        <v>0.17518584303664242</v>
      </c>
      <c r="K40" s="138">
        <f t="shared" si="28"/>
        <v>0.17518584303664242</v>
      </c>
    </row>
    <row r="41" spans="3:11" x14ac:dyDescent="0.3">
      <c r="C41" t="s">
        <v>206</v>
      </c>
      <c r="D41" s="91"/>
      <c r="E41" s="137">
        <f t="shared" ref="E41:F41" si="29">E12/D12-1</f>
        <v>0.15549766439094492</v>
      </c>
      <c r="F41" s="137">
        <f t="shared" si="29"/>
        <v>0.35403871569618284</v>
      </c>
      <c r="G41" s="133">
        <f t="shared" si="27"/>
        <v>0.32508468737440421</v>
      </c>
      <c r="H41" s="133">
        <f t="shared" si="27"/>
        <v>0.13861085835608122</v>
      </c>
      <c r="I41" s="138">
        <f t="shared" ref="I41:K41" si="30">H41</f>
        <v>0.13861085835608122</v>
      </c>
      <c r="J41" s="138">
        <f t="shared" si="30"/>
        <v>0.13861085835608122</v>
      </c>
      <c r="K41" s="138">
        <f t="shared" si="30"/>
        <v>0.13861085835608122</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D0948-F5DD-45B1-A3FB-D34337B34969}">
  <dimension ref="B1:V324"/>
  <sheetViews>
    <sheetView tabSelected="1" topLeftCell="A22" zoomScale="85" zoomScaleNormal="85" workbookViewId="0">
      <selection activeCell="A47" sqref="A47"/>
    </sheetView>
  </sheetViews>
  <sheetFormatPr defaultRowHeight="14.4" x14ac:dyDescent="0.3"/>
  <cols>
    <col min="1" max="2" width="1.77734375" customWidth="1"/>
    <col min="3" max="3" width="56.5546875" customWidth="1"/>
    <col min="4" max="12" width="12.44140625" style="5" customWidth="1"/>
    <col min="13" max="13" width="1.77734375" style="5" customWidth="1"/>
    <col min="14" max="14" width="8.21875" customWidth="1"/>
    <col min="15" max="15" width="1.77734375" customWidth="1"/>
    <col min="16" max="17" width="12.44140625" customWidth="1"/>
    <col min="21" max="21" width="63.5546875" bestFit="1" customWidth="1"/>
    <col min="22" max="22" width="22.77734375" bestFit="1" customWidth="1"/>
    <col min="23" max="23" width="27.5546875" bestFit="1" customWidth="1"/>
  </cols>
  <sheetData>
    <row r="1" spans="2:22" ht="15" thickBot="1" x14ac:dyDescent="0.35">
      <c r="D1"/>
      <c r="E1"/>
      <c r="F1"/>
      <c r="G1"/>
      <c r="H1"/>
      <c r="I1"/>
      <c r="J1"/>
      <c r="K1"/>
      <c r="L1"/>
      <c r="M1"/>
    </row>
    <row r="2" spans="2:22" ht="15" thickBot="1" x14ac:dyDescent="0.35">
      <c r="C2" s="43" t="str">
        <f>"Financial Statement Model for "&amp;D5</f>
        <v>Financial Statement Model for Apple</v>
      </c>
      <c r="D2" s="42"/>
      <c r="E2" s="42"/>
      <c r="F2" s="42"/>
      <c r="G2" s="42"/>
      <c r="H2" s="42"/>
      <c r="I2" s="42"/>
      <c r="J2" s="42"/>
      <c r="K2" s="42"/>
      <c r="L2" s="46"/>
      <c r="M2" s="46"/>
    </row>
    <row r="3" spans="2:22" x14ac:dyDescent="0.3">
      <c r="C3" s="41" t="s">
        <v>81</v>
      </c>
      <c r="D3" s="40"/>
      <c r="E3" s="40"/>
      <c r="F3" s="40"/>
      <c r="G3" s="40"/>
      <c r="H3" s="40"/>
      <c r="I3"/>
      <c r="J3"/>
      <c r="K3"/>
      <c r="L3"/>
      <c r="M3"/>
    </row>
    <row r="4" spans="2:22" x14ac:dyDescent="0.3">
      <c r="D4" t="s">
        <v>93</v>
      </c>
      <c r="E4"/>
      <c r="F4"/>
      <c r="G4"/>
      <c r="H4"/>
      <c r="I4"/>
      <c r="J4"/>
      <c r="K4"/>
      <c r="L4"/>
      <c r="M4"/>
    </row>
    <row r="5" spans="2:22" x14ac:dyDescent="0.3">
      <c r="C5" s="36" t="s">
        <v>80</v>
      </c>
      <c r="D5" s="39" t="s">
        <v>79</v>
      </c>
      <c r="E5"/>
      <c r="F5"/>
      <c r="G5"/>
      <c r="H5"/>
      <c r="I5"/>
      <c r="J5"/>
      <c r="K5"/>
      <c r="L5"/>
      <c r="M5"/>
    </row>
    <row r="6" spans="2:22" x14ac:dyDescent="0.3">
      <c r="C6" s="36" t="s">
        <v>78</v>
      </c>
      <c r="D6" s="39" t="s">
        <v>77</v>
      </c>
      <c r="E6"/>
      <c r="F6"/>
      <c r="G6"/>
      <c r="H6"/>
      <c r="I6"/>
      <c r="J6"/>
      <c r="K6"/>
      <c r="L6"/>
      <c r="M6"/>
    </row>
    <row r="7" spans="2:22" x14ac:dyDescent="0.3">
      <c r="C7" t="s">
        <v>76</v>
      </c>
      <c r="D7" s="88">
        <v>1</v>
      </c>
      <c r="E7"/>
      <c r="F7"/>
      <c r="G7"/>
      <c r="H7"/>
      <c r="I7"/>
      <c r="J7"/>
      <c r="K7"/>
      <c r="L7"/>
      <c r="M7"/>
    </row>
    <row r="8" spans="2:22" x14ac:dyDescent="0.3">
      <c r="C8" t="s">
        <v>75</v>
      </c>
      <c r="D8" s="38"/>
      <c r="E8"/>
      <c r="F8"/>
      <c r="G8"/>
      <c r="H8"/>
      <c r="I8"/>
      <c r="J8"/>
      <c r="K8"/>
      <c r="L8"/>
      <c r="M8"/>
    </row>
    <row r="9" spans="2:22" x14ac:dyDescent="0.3">
      <c r="C9" t="s">
        <v>74</v>
      </c>
      <c r="D9" s="37"/>
      <c r="E9"/>
      <c r="F9"/>
      <c r="G9"/>
      <c r="H9"/>
      <c r="I9"/>
      <c r="J9"/>
      <c r="K9"/>
      <c r="L9"/>
      <c r="M9"/>
    </row>
    <row r="10" spans="2:22" x14ac:dyDescent="0.3">
      <c r="C10" s="36" t="s">
        <v>73</v>
      </c>
      <c r="D10" s="35">
        <v>43737</v>
      </c>
      <c r="E10"/>
      <c r="F10"/>
      <c r="G10"/>
      <c r="H10"/>
      <c r="I10"/>
      <c r="J10"/>
      <c r="K10"/>
      <c r="L10"/>
      <c r="M10"/>
    </row>
    <row r="11" spans="2:22" x14ac:dyDescent="0.3">
      <c r="C11" t="s">
        <v>72</v>
      </c>
      <c r="D11" s="44"/>
      <c r="E11"/>
      <c r="F11"/>
      <c r="G11"/>
      <c r="H11"/>
      <c r="I11"/>
      <c r="J11"/>
      <c r="K11"/>
      <c r="L11"/>
      <c r="M11"/>
    </row>
    <row r="12" spans="2:22" x14ac:dyDescent="0.3">
      <c r="C12" t="s">
        <v>158</v>
      </c>
      <c r="D12" s="121" t="s">
        <v>168</v>
      </c>
      <c r="E12"/>
      <c r="F12"/>
      <c r="G12"/>
      <c r="H12"/>
      <c r="I12"/>
      <c r="J12"/>
      <c r="K12"/>
      <c r="L12"/>
      <c r="M12"/>
    </row>
    <row r="13" spans="2:22" x14ac:dyDescent="0.3">
      <c r="D13"/>
      <c r="E13"/>
      <c r="F13"/>
      <c r="G13"/>
      <c r="H13"/>
      <c r="I13"/>
      <c r="J13"/>
      <c r="K13"/>
      <c r="L13"/>
      <c r="M13"/>
    </row>
    <row r="14" spans="2:22" x14ac:dyDescent="0.3">
      <c r="B14" t="s">
        <v>82</v>
      </c>
      <c r="C14" s="15" t="s">
        <v>71</v>
      </c>
      <c r="D14" s="10"/>
      <c r="E14" s="10"/>
      <c r="F14" s="10"/>
      <c r="G14" s="49"/>
      <c r="H14" s="216" t="s">
        <v>70</v>
      </c>
      <c r="I14" s="216"/>
      <c r="J14" s="216"/>
      <c r="K14" s="216"/>
      <c r="L14" s="216"/>
      <c r="M14" s="157"/>
    </row>
    <row r="15" spans="2:22" x14ac:dyDescent="0.3">
      <c r="C15" t="s">
        <v>69</v>
      </c>
      <c r="D15" s="34">
        <f t="shared" ref="D15" si="0">E15-1</f>
        <v>2016</v>
      </c>
      <c r="E15" s="34">
        <f>F15-1</f>
        <v>2017</v>
      </c>
      <c r="F15" s="34">
        <f>G15-1</f>
        <v>2018</v>
      </c>
      <c r="G15" s="34">
        <f>YEAR($D$10)</f>
        <v>2019</v>
      </c>
      <c r="H15" s="33">
        <f>G15+1</f>
        <v>2020</v>
      </c>
      <c r="I15" s="33">
        <f>H15+1</f>
        <v>2021</v>
      </c>
      <c r="J15" s="33">
        <f>I15+1</f>
        <v>2022</v>
      </c>
      <c r="K15" s="33">
        <f>J15+1</f>
        <v>2023</v>
      </c>
      <c r="L15" s="33">
        <f>K15+1</f>
        <v>2024</v>
      </c>
      <c r="M15" s="33"/>
      <c r="N15" s="163" t="s">
        <v>221</v>
      </c>
    </row>
    <row r="16" spans="2:22" x14ac:dyDescent="0.3">
      <c r="C16" s="32" t="s">
        <v>68</v>
      </c>
      <c r="D16" s="31">
        <f t="shared" ref="D16" si="1">EOMONTH(E16,-12)</f>
        <v>42643</v>
      </c>
      <c r="E16" s="31">
        <f>EOMONTH(F16,-12)</f>
        <v>43008</v>
      </c>
      <c r="F16" s="31">
        <f t="shared" ref="F16" si="2">EOMONTH(G16,-12)</f>
        <v>43373</v>
      </c>
      <c r="G16" s="31">
        <f>$D$10</f>
        <v>43737</v>
      </c>
      <c r="H16" s="31">
        <f>EOMONTH(G16,12)</f>
        <v>44104</v>
      </c>
      <c r="I16" s="31">
        <f>EOMONTH(H16,12)</f>
        <v>44469</v>
      </c>
      <c r="J16" s="31">
        <f>EOMONTH(I16,12)</f>
        <v>44834</v>
      </c>
      <c r="K16" s="31">
        <f>EOMONTH(J16,12)</f>
        <v>45199</v>
      </c>
      <c r="L16" s="31">
        <f>EOMONTH(K16,12)</f>
        <v>45565</v>
      </c>
      <c r="M16" s="155"/>
      <c r="N16" s="164" t="s">
        <v>222</v>
      </c>
      <c r="P16" s="30" t="s">
        <v>67</v>
      </c>
      <c r="Q16" s="29"/>
      <c r="R16" s="29"/>
      <c r="S16" s="29"/>
      <c r="T16" s="29"/>
      <c r="U16" s="46"/>
      <c r="V16" s="46"/>
    </row>
    <row r="17" spans="2:17" x14ac:dyDescent="0.3">
      <c r="C17" s="1"/>
      <c r="D17" s="1"/>
      <c r="E17" s="28"/>
      <c r="F17" s="26"/>
      <c r="G17" s="26"/>
      <c r="H17"/>
      <c r="I17" s="27"/>
      <c r="J17" s="27"/>
      <c r="K17" s="26"/>
      <c r="L17" s="26"/>
      <c r="M17" s="26"/>
      <c r="N17" s="26"/>
    </row>
    <row r="18" spans="2:17" x14ac:dyDescent="0.3">
      <c r="C18" t="s">
        <v>66</v>
      </c>
      <c r="D18" s="6">
        <v>215639</v>
      </c>
      <c r="E18" s="6">
        <v>229234</v>
      </c>
      <c r="F18" s="6">
        <v>265595</v>
      </c>
      <c r="G18" s="212">
        <v>260174</v>
      </c>
      <c r="H18" s="25">
        <f ca="1">G18*(1+H37)</f>
        <v>252990.4817</v>
      </c>
      <c r="I18" s="25">
        <f t="shared" ref="I18:L18" ca="1" si="3">H18*(1+I37)</f>
        <v>265376.78419999999</v>
      </c>
      <c r="J18" s="25">
        <f t="shared" ca="1" si="3"/>
        <v>278407.76003590086</v>
      </c>
      <c r="K18" s="25">
        <f t="shared" ca="1" si="3"/>
        <v>293588.357044834</v>
      </c>
      <c r="L18" s="25">
        <f t="shared" ca="1" si="3"/>
        <v>311276.6925034704</v>
      </c>
      <c r="M18" s="25"/>
      <c r="N18" s="165">
        <f ca="1">(L18/G18)^(1/COUNT(H18:L18))-1</f>
        <v>3.651726838536673E-2</v>
      </c>
      <c r="P18" t="s">
        <v>65</v>
      </c>
    </row>
    <row r="19" spans="2:17" x14ac:dyDescent="0.3">
      <c r="C19" t="s">
        <v>64</v>
      </c>
      <c r="D19" s="45">
        <v>-131376</v>
      </c>
      <c r="E19" s="45">
        <v>-141048</v>
      </c>
      <c r="F19" s="45">
        <v>-163756</v>
      </c>
      <c r="G19" s="212">
        <v>-161782</v>
      </c>
      <c r="H19" s="23">
        <f ca="1">H20-H18</f>
        <v>-157360.07961740001</v>
      </c>
      <c r="I19" s="23">
        <f t="shared" ref="I19:L19" ca="1" si="4">I20-I18</f>
        <v>-164533.60620400001</v>
      </c>
      <c r="J19" s="23">
        <f t="shared" ca="1" si="4"/>
        <v>-172055.99570218672</v>
      </c>
      <c r="K19" s="23">
        <f t="shared" ca="1" si="4"/>
        <v>-181437.60465370741</v>
      </c>
      <c r="L19" s="23">
        <f t="shared" ca="1" si="4"/>
        <v>-192368.99596714473</v>
      </c>
      <c r="M19" s="23"/>
      <c r="N19" s="23"/>
      <c r="P19" t="s">
        <v>63</v>
      </c>
    </row>
    <row r="20" spans="2:17" x14ac:dyDescent="0.3">
      <c r="C20" s="22" t="s">
        <v>62</v>
      </c>
      <c r="D20" s="8">
        <f>SUM(D18:D19)</f>
        <v>84263</v>
      </c>
      <c r="E20" s="8">
        <f>SUM(E18:E19)</f>
        <v>88186</v>
      </c>
      <c r="F20" s="8">
        <f>SUM(F18:F19)</f>
        <v>101839</v>
      </c>
      <c r="G20" s="8">
        <f>SUM(G18:G19)</f>
        <v>98392</v>
      </c>
      <c r="H20" s="8">
        <f ca="1">H18*H38</f>
        <v>95630.402082600005</v>
      </c>
      <c r="I20" s="8">
        <f t="shared" ref="I20:L20" ca="1" si="5">I18*I38</f>
        <v>100843.177996</v>
      </c>
      <c r="J20" s="8">
        <f t="shared" ca="1" si="5"/>
        <v>106351.76433371413</v>
      </c>
      <c r="K20" s="8">
        <f t="shared" ca="1" si="5"/>
        <v>112150.75239112659</v>
      </c>
      <c r="L20" s="8">
        <f t="shared" ca="1" si="5"/>
        <v>118907.69653632569</v>
      </c>
      <c r="M20" s="8"/>
      <c r="N20" s="8"/>
      <c r="P20" s="24" t="s">
        <v>61</v>
      </c>
    </row>
    <row r="21" spans="2:17" x14ac:dyDescent="0.3">
      <c r="C21" t="s">
        <v>60</v>
      </c>
      <c r="D21" s="45">
        <v>-10045</v>
      </c>
      <c r="E21" s="45">
        <v>-11581</v>
      </c>
      <c r="F21" s="45">
        <v>-14236</v>
      </c>
      <c r="G21" s="45">
        <v>-16217</v>
      </c>
      <c r="H21" s="23">
        <f ca="1">-H18*H39</f>
        <v>-15685.409865400001</v>
      </c>
      <c r="I21" s="23">
        <f t="shared" ref="I21:L21" ca="1" si="6">-I18*I39</f>
        <v>-16718.7374046</v>
      </c>
      <c r="J21" s="23">
        <f t="shared" ca="1" si="6"/>
        <v>-17539.688882261755</v>
      </c>
      <c r="K21" s="23">
        <f t="shared" ca="1" si="6"/>
        <v>-18496.066493824543</v>
      </c>
      <c r="L21" s="23">
        <f t="shared" ca="1" si="6"/>
        <v>-19610.431627718637</v>
      </c>
      <c r="M21" s="23"/>
      <c r="N21" s="23"/>
      <c r="P21" s="24" t="s">
        <v>59</v>
      </c>
    </row>
    <row r="22" spans="2:17" x14ac:dyDescent="0.3">
      <c r="C22" t="s">
        <v>58</v>
      </c>
      <c r="D22" s="45">
        <v>-14194</v>
      </c>
      <c r="E22" s="45">
        <v>-15261</v>
      </c>
      <c r="F22" s="45">
        <v>-16705</v>
      </c>
      <c r="G22" s="45">
        <v>-18245</v>
      </c>
      <c r="H22" s="23">
        <f ca="1">-H18*H40</f>
        <v>-18721.295645800001</v>
      </c>
      <c r="I22" s="23">
        <f t="shared" ref="I22:L22" ca="1" si="7">-I18*I40</f>
        <v>-18310.998109800003</v>
      </c>
      <c r="J22" s="23">
        <f t="shared" ca="1" si="7"/>
        <v>-19210.13544247716</v>
      </c>
      <c r="K22" s="23">
        <f t="shared" ca="1" si="7"/>
        <v>-20257.596636093549</v>
      </c>
      <c r="L22" s="23">
        <f t="shared" ca="1" si="7"/>
        <v>-21478.091782739459</v>
      </c>
      <c r="M22" s="23"/>
      <c r="N22" s="23"/>
      <c r="P22" s="24" t="s">
        <v>57</v>
      </c>
    </row>
    <row r="23" spans="2:17" x14ac:dyDescent="0.3">
      <c r="C23" s="63" t="s">
        <v>56</v>
      </c>
      <c r="D23" s="8">
        <f>SUM(D20:D22)</f>
        <v>60024</v>
      </c>
      <c r="E23" s="8">
        <f>SUM(E20:E22)</f>
        <v>61344</v>
      </c>
      <c r="F23" s="8">
        <f>SUM(F20:F22)</f>
        <v>70898</v>
      </c>
      <c r="G23" s="8">
        <f>SUM(G20:G22)</f>
        <v>63930</v>
      </c>
      <c r="H23" s="8">
        <f t="shared" ref="H23:L23" ca="1" si="8">SUM(H20:H22)</f>
        <v>61223.696571400011</v>
      </c>
      <c r="I23" s="8">
        <f t="shared" ca="1" si="8"/>
        <v>65813.442481599996</v>
      </c>
      <c r="J23" s="8">
        <f t="shared" ca="1" si="8"/>
        <v>69601.940008975216</v>
      </c>
      <c r="K23" s="8">
        <f t="shared" ca="1" si="8"/>
        <v>73397.089261208486</v>
      </c>
      <c r="L23" s="8">
        <f t="shared" ca="1" si="8"/>
        <v>77819.173125867601</v>
      </c>
      <c r="M23" s="8"/>
      <c r="N23" s="165">
        <f ca="1">(L23/G23)^(1/COUNT(H23:L23))-1</f>
        <v>4.0103077736554971E-2</v>
      </c>
      <c r="P23" s="22" t="s">
        <v>55</v>
      </c>
    </row>
    <row r="24" spans="2:17" x14ac:dyDescent="0.3">
      <c r="C24" s="86" t="s">
        <v>54</v>
      </c>
      <c r="D24" s="87">
        <v>3999</v>
      </c>
      <c r="E24" s="87">
        <v>5201</v>
      </c>
      <c r="F24" s="87">
        <v>5686</v>
      </c>
      <c r="G24" s="87">
        <v>4961</v>
      </c>
      <c r="H24" s="62">
        <f ca="1">H221</f>
        <v>4231.5591114390672</v>
      </c>
      <c r="I24" s="62">
        <f t="shared" ref="I24:L24" ca="1" si="9">I221</f>
        <v>3685.6986703913772</v>
      </c>
      <c r="J24" s="62">
        <f t="shared" ca="1" si="9"/>
        <v>3209.0878933764811</v>
      </c>
      <c r="K24" s="62">
        <f t="shared" ca="1" si="9"/>
        <v>2818.3336688499617</v>
      </c>
      <c r="L24" s="62">
        <f t="shared" ca="1" si="9"/>
        <v>2527.7289592539146</v>
      </c>
      <c r="M24" s="62"/>
      <c r="N24" s="62"/>
      <c r="P24" t="s">
        <v>53</v>
      </c>
    </row>
    <row r="25" spans="2:17" x14ac:dyDescent="0.3">
      <c r="C25" s="86" t="s">
        <v>52</v>
      </c>
      <c r="D25" s="87">
        <v>-1456</v>
      </c>
      <c r="E25" s="87">
        <v>-2323</v>
      </c>
      <c r="F25" s="87">
        <v>-3240</v>
      </c>
      <c r="G25" s="87">
        <v>-3576</v>
      </c>
      <c r="H25" s="62">
        <f ca="1">-H217-H212</f>
        <v>-3568.9466179543074</v>
      </c>
      <c r="I25" s="62">
        <f t="shared" ref="I25:L25" ca="1" si="10">-I217-I212</f>
        <v>-3636.3706179543074</v>
      </c>
      <c r="J25" s="62">
        <f t="shared" ca="1" si="10"/>
        <v>-3636.3706179543074</v>
      </c>
      <c r="K25" s="62">
        <f t="shared" ca="1" si="10"/>
        <v>-3636.3706179543074</v>
      </c>
      <c r="L25" s="62">
        <f t="shared" ca="1" si="10"/>
        <v>-3636.3706179543074</v>
      </c>
      <c r="M25" s="62"/>
      <c r="N25" s="62"/>
      <c r="P25" t="s">
        <v>51</v>
      </c>
    </row>
    <row r="26" spans="2:17" x14ac:dyDescent="0.3">
      <c r="C26" t="s">
        <v>50</v>
      </c>
      <c r="D26" s="45">
        <v>-1195</v>
      </c>
      <c r="E26" s="45">
        <v>-133</v>
      </c>
      <c r="F26" s="45">
        <v>-441</v>
      </c>
      <c r="G26" s="45">
        <v>422</v>
      </c>
      <c r="H26" s="5">
        <f>G26</f>
        <v>422</v>
      </c>
      <c r="I26" s="5">
        <f t="shared" ref="I26:L26" si="11">H26</f>
        <v>422</v>
      </c>
      <c r="J26" s="5">
        <f t="shared" si="11"/>
        <v>422</v>
      </c>
      <c r="K26" s="5">
        <f t="shared" si="11"/>
        <v>422</v>
      </c>
      <c r="L26" s="5">
        <f t="shared" si="11"/>
        <v>422</v>
      </c>
      <c r="N26" s="5"/>
      <c r="P26" t="s">
        <v>49</v>
      </c>
    </row>
    <row r="27" spans="2:17" x14ac:dyDescent="0.3">
      <c r="C27" s="22" t="s">
        <v>48</v>
      </c>
      <c r="D27" s="8">
        <f>SUM(D23:D26)</f>
        <v>61372</v>
      </c>
      <c r="E27" s="8">
        <f>SUM(E23:E26)</f>
        <v>64089</v>
      </c>
      <c r="F27" s="8">
        <f>SUM(F23:F26)</f>
        <v>72903</v>
      </c>
      <c r="G27" s="8">
        <f>SUM(G23:G26)</f>
        <v>65737</v>
      </c>
      <c r="H27" s="8">
        <f t="shared" ref="H27:L27" ca="1" si="12">SUM(H23:H26)</f>
        <v>62308.309064884772</v>
      </c>
      <c r="I27" s="8">
        <f t="shared" ca="1" si="12"/>
        <v>66284.770534037059</v>
      </c>
      <c r="J27" s="8">
        <f t="shared" ca="1" si="12"/>
        <v>69596.657284397385</v>
      </c>
      <c r="K27" s="8">
        <f t="shared" ca="1" si="12"/>
        <v>73001.052312104133</v>
      </c>
      <c r="L27" s="8">
        <f t="shared" ca="1" si="12"/>
        <v>77132.531467167209</v>
      </c>
      <c r="M27" s="8"/>
      <c r="N27" s="8"/>
      <c r="P27" s="22" t="s">
        <v>47</v>
      </c>
      <c r="Q27" s="22"/>
    </row>
    <row r="28" spans="2:17" x14ac:dyDescent="0.3">
      <c r="C28" t="s">
        <v>46</v>
      </c>
      <c r="D28" s="45">
        <v>-15685</v>
      </c>
      <c r="E28" s="45">
        <v>-15738</v>
      </c>
      <c r="F28" s="45">
        <v>-13372</v>
      </c>
      <c r="G28" s="45">
        <v>-10481</v>
      </c>
      <c r="H28" s="23">
        <f ca="1">-H27*H41</f>
        <v>-10405.487613835758</v>
      </c>
      <c r="I28" s="23">
        <f t="shared" ref="I28:L28" ca="1" si="13">-I27*I41</f>
        <v>-11268.4109907863</v>
      </c>
      <c r="J28" s="23">
        <f t="shared" ca="1" si="13"/>
        <v>-11761.835081063158</v>
      </c>
      <c r="K28" s="23">
        <f t="shared" ca="1" si="13"/>
        <v>-12337.177840745599</v>
      </c>
      <c r="L28" s="23">
        <f t="shared" ca="1" si="13"/>
        <v>-13035.39781795126</v>
      </c>
      <c r="M28" s="23"/>
      <c r="N28" s="23"/>
      <c r="P28" t="s">
        <v>45</v>
      </c>
    </row>
    <row r="29" spans="2:17" x14ac:dyDescent="0.3">
      <c r="C29" s="22" t="s">
        <v>44</v>
      </c>
      <c r="D29" s="8">
        <f>SUM(D27:D28)</f>
        <v>45687</v>
      </c>
      <c r="E29" s="8">
        <f>SUM(E27:E28)</f>
        <v>48351</v>
      </c>
      <c r="F29" s="8">
        <f>SUM(F27:F28)</f>
        <v>59531</v>
      </c>
      <c r="G29" s="8">
        <f>SUM(G27:G28)</f>
        <v>55256</v>
      </c>
      <c r="H29" s="8">
        <f t="shared" ref="H29:L29" ca="1" si="14">SUM(H27:H28)</f>
        <v>51902.821451049014</v>
      </c>
      <c r="I29" s="8">
        <f t="shared" ca="1" si="14"/>
        <v>55016.359543250757</v>
      </c>
      <c r="J29" s="8">
        <f t="shared" ca="1" si="14"/>
        <v>57834.822203334224</v>
      </c>
      <c r="K29" s="8">
        <f t="shared" ca="1" si="14"/>
        <v>60663.874471358533</v>
      </c>
      <c r="L29" s="8">
        <f t="shared" ca="1" si="14"/>
        <v>64097.133649215946</v>
      </c>
      <c r="M29" s="8"/>
      <c r="N29" s="165">
        <f ca="1">(L29/G29)^(1/COUNT(H29:L29))-1</f>
        <v>3.0129520975581192E-2</v>
      </c>
      <c r="P29" s="22" t="s">
        <v>43</v>
      </c>
    </row>
    <row r="30" spans="2:17" x14ac:dyDescent="0.3">
      <c r="C30" s="17"/>
      <c r="D30" s="2"/>
      <c r="E30" s="2"/>
      <c r="F30" s="2"/>
      <c r="G30" s="2"/>
      <c r="N30" s="5"/>
    </row>
    <row r="31" spans="2:17" x14ac:dyDescent="0.3">
      <c r="B31" t="s">
        <v>82</v>
      </c>
      <c r="C31" s="51" t="s">
        <v>42</v>
      </c>
      <c r="D31" s="45">
        <v>10505</v>
      </c>
      <c r="E31" s="45">
        <v>10157</v>
      </c>
      <c r="F31" s="45">
        <v>10903</v>
      </c>
      <c r="G31" s="45">
        <v>12547</v>
      </c>
      <c r="H31" s="5">
        <f ca="1">H171</f>
        <v>8908.426925694399</v>
      </c>
      <c r="I31" s="5">
        <f t="shared" ref="I31:L31" ca="1" si="15">I171</f>
        <v>9261.07952221085</v>
      </c>
      <c r="J31" s="5">
        <f t="shared" ca="1" si="15"/>
        <v>10114.413840115607</v>
      </c>
      <c r="K31" s="5">
        <f t="shared" ca="1" si="15"/>
        <v>11423.770052660848</v>
      </c>
      <c r="L31" s="5">
        <f t="shared" ca="1" si="15"/>
        <v>13112.053464371402</v>
      </c>
      <c r="N31" s="5"/>
      <c r="P31" t="s">
        <v>41</v>
      </c>
    </row>
    <row r="32" spans="2:17" x14ac:dyDescent="0.3">
      <c r="C32" s="4" t="s">
        <v>40</v>
      </c>
      <c r="D32" s="8">
        <f>D23+D31</f>
        <v>70529</v>
      </c>
      <c r="E32" s="8">
        <f>E23+E31</f>
        <v>71501</v>
      </c>
      <c r="F32" s="8">
        <f>F23+F31</f>
        <v>81801</v>
      </c>
      <c r="G32" s="8">
        <f>G23+G31</f>
        <v>76477</v>
      </c>
      <c r="H32" s="8">
        <f t="shared" ref="H32:L32" ca="1" si="16">H23+H31</f>
        <v>70132.123497094406</v>
      </c>
      <c r="I32" s="8">
        <f t="shared" ca="1" si="16"/>
        <v>75074.522003810853</v>
      </c>
      <c r="J32" s="8">
        <f t="shared" ca="1" si="16"/>
        <v>79716.353849090825</v>
      </c>
      <c r="K32" s="8">
        <f t="shared" ca="1" si="16"/>
        <v>84820.85931386934</v>
      </c>
      <c r="L32" s="8">
        <f t="shared" ca="1" si="16"/>
        <v>90931.226590239006</v>
      </c>
      <c r="M32" s="8"/>
      <c r="N32" s="165">
        <f ca="1">(L32/G32)^(1/COUNT(H32:L32))-1</f>
        <v>3.5229028073792357E-2</v>
      </c>
      <c r="P32" s="22" t="s">
        <v>39</v>
      </c>
    </row>
    <row r="33" spans="2:22" x14ac:dyDescent="0.3">
      <c r="C33" s="7" t="s">
        <v>38</v>
      </c>
      <c r="D33" s="45">
        <v>4210</v>
      </c>
      <c r="E33" s="45">
        <v>4840</v>
      </c>
      <c r="F33" s="45">
        <v>5340</v>
      </c>
      <c r="G33" s="45">
        <v>6068</v>
      </c>
      <c r="H33" s="5">
        <f ca="1">G33*(1+H37)</f>
        <v>5900.4598574630818</v>
      </c>
      <c r="I33" s="5">
        <f t="shared" ref="I33:L33" ca="1" si="17">H33*(1+I37)</f>
        <v>6189.3437719587655</v>
      </c>
      <c r="J33" s="5">
        <f t="shared" ca="1" si="17"/>
        <v>6493.2633080086653</v>
      </c>
      <c r="K33" s="5">
        <f t="shared" ca="1" si="17"/>
        <v>6847.3181430429358</v>
      </c>
      <c r="L33" s="5">
        <f t="shared" ca="1" si="17"/>
        <v>7259.8605937221191</v>
      </c>
      <c r="N33" s="5"/>
      <c r="P33" t="s">
        <v>37</v>
      </c>
    </row>
    <row r="34" spans="2:22" x14ac:dyDescent="0.3">
      <c r="C34" s="4" t="s">
        <v>36</v>
      </c>
      <c r="D34" s="8">
        <f>SUM(D32:D33)</f>
        <v>74739</v>
      </c>
      <c r="E34" s="8">
        <f>SUM(E32:E33)</f>
        <v>76341</v>
      </c>
      <c r="F34" s="8">
        <f>SUM(F32:F33)</f>
        <v>87141</v>
      </c>
      <c r="G34" s="8">
        <f>SUM(G32:G33)</f>
        <v>82545</v>
      </c>
      <c r="H34" s="8">
        <f t="shared" ref="H34:L34" ca="1" si="18">SUM(H32:H33)</f>
        <v>76032.583354557486</v>
      </c>
      <c r="I34" s="8">
        <f t="shared" ca="1" si="18"/>
        <v>81263.86577576962</v>
      </c>
      <c r="J34" s="8">
        <f t="shared" ca="1" si="18"/>
        <v>86209.617157099492</v>
      </c>
      <c r="K34" s="8">
        <f t="shared" ca="1" si="18"/>
        <v>91668.177456912279</v>
      </c>
      <c r="L34" s="8">
        <f t="shared" ca="1" si="18"/>
        <v>98191.087183961121</v>
      </c>
      <c r="M34" s="8"/>
      <c r="N34" s="8"/>
      <c r="P34" s="22" t="s">
        <v>35</v>
      </c>
    </row>
    <row r="35" spans="2:22" x14ac:dyDescent="0.3">
      <c r="C35" s="17"/>
      <c r="D35" s="17"/>
      <c r="E35"/>
      <c r="F35"/>
      <c r="G35"/>
      <c r="H35" s="16"/>
      <c r="I35"/>
      <c r="J35"/>
      <c r="K35"/>
      <c r="L35"/>
      <c r="M35"/>
    </row>
    <row r="36" spans="2:22" x14ac:dyDescent="0.3">
      <c r="C36" s="21" t="s">
        <v>34</v>
      </c>
      <c r="D36" s="21"/>
      <c r="E36"/>
      <c r="F36"/>
      <c r="G36"/>
      <c r="H36"/>
      <c r="I36"/>
      <c r="J36"/>
      <c r="K36"/>
      <c r="L36"/>
      <c r="M36"/>
    </row>
    <row r="37" spans="2:22" x14ac:dyDescent="0.3">
      <c r="C37" s="17" t="s">
        <v>33</v>
      </c>
      <c r="D37" s="20"/>
      <c r="E37" s="20">
        <f>E18/D18-1</f>
        <v>6.304518199398057E-2</v>
      </c>
      <c r="F37" s="20">
        <f>F18/E18-1</f>
        <v>0.15861957650261305</v>
      </c>
      <c r="G37" s="20">
        <f>G18/F18-1</f>
        <v>-2.04107758052674E-2</v>
      </c>
      <c r="H37" s="169">
        <f ca="1">'Rev-2019 update'!H14</f>
        <v>-2.7610438783275848E-2</v>
      </c>
      <c r="I37" s="169">
        <f ca="1">'Rev-2019 update'!I14</f>
        <v>4.8959559335073566E-2</v>
      </c>
      <c r="J37" s="169">
        <f ca="1">'Rev-2019 update'!J14</f>
        <v>4.9103676778599281E-2</v>
      </c>
      <c r="K37" s="169">
        <f ca="1">'Rev-2019 update'!K14</f>
        <v>5.452648664310078E-2</v>
      </c>
      <c r="L37" s="169">
        <f ca="1">'Rev-2019 update'!L14</f>
        <v>6.0248763393349503E-2</v>
      </c>
      <c r="M37" s="166"/>
      <c r="N37" s="166"/>
      <c r="P37" t="s">
        <v>196</v>
      </c>
      <c r="R37" s="18"/>
      <c r="T37" s="18"/>
      <c r="U37" s="18"/>
      <c r="V37" s="18"/>
    </row>
    <row r="38" spans="2:22" x14ac:dyDescent="0.3">
      <c r="C38" s="17" t="s">
        <v>32</v>
      </c>
      <c r="D38" s="20">
        <f>D20/D18</f>
        <v>0.39075955648097049</v>
      </c>
      <c r="E38" s="20">
        <f>E20/E18</f>
        <v>0.38469860491899105</v>
      </c>
      <c r="F38" s="20">
        <f>F20/F18</f>
        <v>0.38343718820007905</v>
      </c>
      <c r="G38" s="20">
        <f>G20/G18</f>
        <v>0.37817768109034722</v>
      </c>
      <c r="H38" s="53">
        <f t="shared" ref="H38:L40" ca="1" si="19">H241</f>
        <v>0.378</v>
      </c>
      <c r="I38" s="53">
        <f t="shared" ca="1" si="19"/>
        <v>0.38</v>
      </c>
      <c r="J38" s="53">
        <f t="shared" ca="1" si="19"/>
        <v>0.38200000000000001</v>
      </c>
      <c r="K38" s="53">
        <f t="shared" ca="1" si="19"/>
        <v>0.38200000000000001</v>
      </c>
      <c r="L38" s="53">
        <f t="shared" ca="1" si="19"/>
        <v>0.38200000000000001</v>
      </c>
      <c r="M38" s="166"/>
      <c r="N38" s="166"/>
      <c r="P38" t="s">
        <v>196</v>
      </c>
      <c r="R38" s="18"/>
      <c r="T38" s="18"/>
      <c r="U38" s="18"/>
      <c r="V38" s="18"/>
    </row>
    <row r="39" spans="2:22" x14ac:dyDescent="0.3">
      <c r="C39" s="17" t="s">
        <v>31</v>
      </c>
      <c r="D39" s="20">
        <f>-D21/D18</f>
        <v>4.6582482760539605E-2</v>
      </c>
      <c r="E39" s="20">
        <f>-E21/E18</f>
        <v>5.0520428906706681E-2</v>
      </c>
      <c r="F39" s="20">
        <f>-F21/F18</f>
        <v>5.3600406634161032E-2</v>
      </c>
      <c r="G39" s="20">
        <f>-G21/G18</f>
        <v>6.233136285716482E-2</v>
      </c>
      <c r="H39" s="53">
        <f t="shared" ca="1" si="19"/>
        <v>6.2E-2</v>
      </c>
      <c r="I39" s="53">
        <f t="shared" ca="1" si="19"/>
        <v>6.3E-2</v>
      </c>
      <c r="J39" s="53">
        <f t="shared" ca="1" si="19"/>
        <v>6.3E-2</v>
      </c>
      <c r="K39" s="53">
        <f t="shared" ca="1" si="19"/>
        <v>6.3E-2</v>
      </c>
      <c r="L39" s="53">
        <f t="shared" ca="1" si="19"/>
        <v>6.3E-2</v>
      </c>
      <c r="M39" s="166"/>
      <c r="N39" s="166"/>
      <c r="P39" t="s">
        <v>196</v>
      </c>
      <c r="R39" s="18"/>
      <c r="T39" s="18"/>
      <c r="U39" s="18"/>
      <c r="V39" s="18"/>
    </row>
    <row r="40" spans="2:22" x14ac:dyDescent="0.3">
      <c r="C40" s="17" t="s">
        <v>30</v>
      </c>
      <c r="D40" s="20">
        <f>-D22/D18</f>
        <v>6.5822972653369755E-2</v>
      </c>
      <c r="E40" s="20">
        <f>-E22/E18</f>
        <v>6.6573893924984945E-2</v>
      </c>
      <c r="F40" s="20">
        <f>-F22/F18</f>
        <v>6.2896515371147807E-2</v>
      </c>
      <c r="G40" s="20">
        <f>-G22/G18</f>
        <v>7.0126146348213125E-2</v>
      </c>
      <c r="H40" s="53">
        <f t="shared" ca="1" si="19"/>
        <v>7.3999999999999996E-2</v>
      </c>
      <c r="I40" s="53">
        <f t="shared" ca="1" si="19"/>
        <v>6.9000000000000006E-2</v>
      </c>
      <c r="J40" s="53">
        <f t="shared" ca="1" si="19"/>
        <v>6.9000000000000006E-2</v>
      </c>
      <c r="K40" s="53">
        <f t="shared" ca="1" si="19"/>
        <v>6.9000000000000006E-2</v>
      </c>
      <c r="L40" s="53">
        <f t="shared" ca="1" si="19"/>
        <v>6.9000000000000006E-2</v>
      </c>
      <c r="M40" s="166"/>
      <c r="N40" s="166"/>
      <c r="P40" t="s">
        <v>196</v>
      </c>
      <c r="R40" s="18"/>
      <c r="T40" s="18"/>
      <c r="U40" s="18"/>
      <c r="V40" s="18"/>
    </row>
    <row r="41" spans="2:22" x14ac:dyDescent="0.3">
      <c r="C41" s="17" t="s">
        <v>29</v>
      </c>
      <c r="D41" s="20">
        <f>-D28/D27</f>
        <v>0.25557257381216192</v>
      </c>
      <c r="E41" s="20">
        <f>-E28/E27</f>
        <v>0.24556476150353415</v>
      </c>
      <c r="F41" s="20">
        <f>-F28/F27</f>
        <v>0.18342180705869443</v>
      </c>
      <c r="G41" s="20">
        <f>-G28/G27</f>
        <v>0.15943836804235059</v>
      </c>
      <c r="H41" s="125">
        <v>0.16700000000000001</v>
      </c>
      <c r="I41" s="125">
        <v>0.17</v>
      </c>
      <c r="J41" s="125">
        <v>0.16900000000000001</v>
      </c>
      <c r="K41" s="19">
        <f t="shared" ref="K41:L41" si="20">J41</f>
        <v>0.16900000000000001</v>
      </c>
      <c r="L41" s="19">
        <f t="shared" si="20"/>
        <v>0.16900000000000001</v>
      </c>
      <c r="M41" s="167"/>
      <c r="N41" s="167"/>
      <c r="P41" t="s">
        <v>28</v>
      </c>
      <c r="R41" s="18"/>
      <c r="T41" s="18"/>
      <c r="U41" s="18"/>
      <c r="V41" s="18"/>
    </row>
    <row r="42" spans="2:22" x14ac:dyDescent="0.3">
      <c r="C42" s="17"/>
      <c r="D42" s="17"/>
      <c r="E42"/>
      <c r="F42"/>
      <c r="G42"/>
      <c r="H42" s="16"/>
      <c r="I42"/>
      <c r="J42"/>
      <c r="K42"/>
      <c r="L42"/>
      <c r="M42"/>
    </row>
    <row r="43" spans="2:22" x14ac:dyDescent="0.3">
      <c r="B43" t="s">
        <v>82</v>
      </c>
      <c r="C43" s="15" t="s">
        <v>27</v>
      </c>
      <c r="D43" s="15"/>
      <c r="E43" s="14"/>
      <c r="F43" s="14"/>
      <c r="G43" s="14"/>
      <c r="H43" s="10"/>
      <c r="I43" s="10"/>
      <c r="J43" s="10"/>
      <c r="K43" s="10"/>
      <c r="L43" s="10"/>
      <c r="M43" s="46"/>
      <c r="N43" s="46"/>
    </row>
    <row r="44" spans="2:22" x14ac:dyDescent="0.3">
      <c r="C44" s="13" t="str">
        <f t="shared" ref="C44:L45" si="21">C15</f>
        <v xml:space="preserve">Fiscal year  </v>
      </c>
      <c r="D44" s="13"/>
      <c r="E44" s="12">
        <f t="shared" ref="E44" si="22">E15</f>
        <v>2017</v>
      </c>
      <c r="F44" s="12">
        <f t="shared" si="21"/>
        <v>2018</v>
      </c>
      <c r="G44" s="12">
        <f t="shared" si="21"/>
        <v>2019</v>
      </c>
      <c r="H44" s="11">
        <f t="shared" si="21"/>
        <v>2020</v>
      </c>
      <c r="I44" s="11">
        <f t="shared" si="21"/>
        <v>2021</v>
      </c>
      <c r="J44" s="11">
        <f t="shared" si="21"/>
        <v>2022</v>
      </c>
      <c r="K44" s="11">
        <f t="shared" si="21"/>
        <v>2023</v>
      </c>
      <c r="L44" s="11">
        <f t="shared" si="21"/>
        <v>2024</v>
      </c>
      <c r="M44" s="11"/>
      <c r="N44" s="11"/>
    </row>
    <row r="45" spans="2:22" x14ac:dyDescent="0.3">
      <c r="C45" s="10" t="str">
        <f t="shared" si="21"/>
        <v>Fiscal year end date</v>
      </c>
      <c r="D45" s="10"/>
      <c r="E45" s="9">
        <f t="shared" ref="E45" si="23">E16</f>
        <v>43008</v>
      </c>
      <c r="F45" s="9">
        <f t="shared" si="21"/>
        <v>43373</v>
      </c>
      <c r="G45" s="9">
        <f t="shared" si="21"/>
        <v>43737</v>
      </c>
      <c r="H45" s="9">
        <f t="shared" si="21"/>
        <v>44104</v>
      </c>
      <c r="I45" s="9">
        <f t="shared" si="21"/>
        <v>44469</v>
      </c>
      <c r="J45" s="9">
        <f t="shared" si="21"/>
        <v>44834</v>
      </c>
      <c r="K45" s="9">
        <f t="shared" si="21"/>
        <v>45199</v>
      </c>
      <c r="L45" s="9">
        <f t="shared" si="21"/>
        <v>45565</v>
      </c>
      <c r="M45" s="156"/>
      <c r="N45" s="156"/>
      <c r="P45" s="21"/>
    </row>
    <row r="46" spans="2:22" x14ac:dyDescent="0.3">
      <c r="C46" t="s">
        <v>26</v>
      </c>
      <c r="D46"/>
      <c r="E46" s="6">
        <f>20289+53892+194714</f>
        <v>268895</v>
      </c>
      <c r="F46" s="6">
        <f>25913+40388+170799</f>
        <v>237100</v>
      </c>
      <c r="G46" s="6">
        <f>48844+51713+105341</f>
        <v>205898</v>
      </c>
      <c r="H46" s="2">
        <f ca="1">G46+H92</f>
        <v>180545.75446932125</v>
      </c>
      <c r="I46" s="2">
        <f t="shared" ref="I46:L46" ca="1" si="24">H46+I92</f>
        <v>156047.73141116987</v>
      </c>
      <c r="J46" s="2">
        <f t="shared" ca="1" si="24"/>
        <v>137019.65611179644</v>
      </c>
      <c r="K46" s="2">
        <f t="shared" ca="1" si="24"/>
        <v>120362.41410281193</v>
      </c>
      <c r="L46" s="2">
        <f t="shared" ca="1" si="24"/>
        <v>110480.41322631267</v>
      </c>
      <c r="M46" s="2"/>
      <c r="N46" s="2"/>
      <c r="P46" t="s">
        <v>25</v>
      </c>
    </row>
    <row r="47" spans="2:22" x14ac:dyDescent="0.3">
      <c r="C47" t="s">
        <v>24</v>
      </c>
      <c r="D47"/>
      <c r="E47" s="6">
        <v>17874</v>
      </c>
      <c r="F47" s="6">
        <v>23186</v>
      </c>
      <c r="G47" s="6">
        <v>22926</v>
      </c>
      <c r="H47" s="2">
        <f ca="1">H101</f>
        <v>24206.473303013707</v>
      </c>
      <c r="I47" s="2">
        <f t="shared" ref="I47:L47" ca="1" si="25">I101</f>
        <v>25233.585123287659</v>
      </c>
      <c r="J47" s="2">
        <f t="shared" ca="1" si="25"/>
        <v>26634.161951893868</v>
      </c>
      <c r="K47" s="2">
        <f t="shared" ca="1" si="25"/>
        <v>28061.751141390268</v>
      </c>
      <c r="L47" s="2">
        <f t="shared" ca="1" si="25"/>
        <v>29929.523078434351</v>
      </c>
      <c r="M47" s="2"/>
      <c r="N47" s="2"/>
      <c r="P47" t="s">
        <v>9</v>
      </c>
    </row>
    <row r="48" spans="2:22" x14ac:dyDescent="0.3">
      <c r="C48" t="s">
        <v>23</v>
      </c>
      <c r="D48"/>
      <c r="E48" s="6">
        <v>4855</v>
      </c>
      <c r="F48" s="6">
        <v>3956</v>
      </c>
      <c r="G48" s="6">
        <v>4106</v>
      </c>
      <c r="H48" s="2">
        <f ca="1">H113</f>
        <v>3213.0734705767445</v>
      </c>
      <c r="I48" s="2">
        <f t="shared" ref="I48:L48" ca="1" si="26">I113</f>
        <v>4265.7268114232556</v>
      </c>
      <c r="J48" s="2">
        <f t="shared" ca="1" si="26"/>
        <v>3381.2063308961542</v>
      </c>
      <c r="K48" s="2">
        <f t="shared" ca="1" si="26"/>
        <v>4507.3851757867769</v>
      </c>
      <c r="L48" s="2">
        <f t="shared" ca="1" si="26"/>
        <v>3678.5295462193817</v>
      </c>
      <c r="M48" s="2"/>
      <c r="N48" s="2"/>
      <c r="P48" t="s">
        <v>16</v>
      </c>
    </row>
    <row r="49" spans="3:17" x14ac:dyDescent="0.3">
      <c r="C49" t="s">
        <v>251</v>
      </c>
      <c r="D49"/>
      <c r="E49" s="193">
        <v>17799</v>
      </c>
      <c r="F49" s="193">
        <v>25809</v>
      </c>
      <c r="G49" s="193">
        <v>22878</v>
      </c>
      <c r="H49" s="2">
        <f ca="1">G49*(1+H37)</f>
        <v>22246.328381516214</v>
      </c>
      <c r="I49" s="2">
        <f t="shared" ref="I49:L49" ca="1" si="27">H49*(1+I37)</f>
        <v>23335.498815898587</v>
      </c>
      <c r="J49" s="2">
        <f t="shared" ca="1" si="27"/>
        <v>24481.357607221857</v>
      </c>
      <c r="K49" s="2">
        <f t="shared" ca="1" si="27"/>
        <v>25816.240025797011</v>
      </c>
      <c r="L49" s="2">
        <f t="shared" ca="1" si="27"/>
        <v>27371.636562817173</v>
      </c>
      <c r="M49" s="2"/>
      <c r="N49" s="2"/>
      <c r="P49" t="s">
        <v>9</v>
      </c>
    </row>
    <row r="50" spans="3:17" x14ac:dyDescent="0.3">
      <c r="C50" t="s">
        <v>22</v>
      </c>
      <c r="D50"/>
      <c r="E50" s="6">
        <v>13936</v>
      </c>
      <c r="F50" s="6">
        <v>12087</v>
      </c>
      <c r="G50" s="6">
        <v>12352</v>
      </c>
      <c r="H50" s="2">
        <f ca="1">G50*(1+H37)</f>
        <v>12010.955860148977</v>
      </c>
      <c r="I50" s="2">
        <f t="shared" ref="I50:L50" ca="1" si="28">H50*(1+I37)</f>
        <v>12599.00696625489</v>
      </c>
      <c r="J50" s="2">
        <f t="shared" ca="1" si="28"/>
        <v>13217.664532057192</v>
      </c>
      <c r="K50" s="2">
        <f t="shared" ca="1" si="28"/>
        <v>13938.377340617395</v>
      </c>
      <c r="L50" s="2">
        <f t="shared" ca="1" si="28"/>
        <v>14778.147339099476</v>
      </c>
      <c r="M50" s="2"/>
      <c r="N50" s="2"/>
      <c r="P50" t="s">
        <v>9</v>
      </c>
      <c r="Q50" s="3"/>
    </row>
    <row r="51" spans="3:17" x14ac:dyDescent="0.3">
      <c r="C51" t="s">
        <v>21</v>
      </c>
      <c r="D51"/>
      <c r="E51" s="6">
        <v>33783</v>
      </c>
      <c r="F51" s="6">
        <v>41304</v>
      </c>
      <c r="G51" s="6">
        <v>37378</v>
      </c>
      <c r="H51" s="2">
        <f>H146</f>
        <v>42967.142857142855</v>
      </c>
      <c r="I51" s="2">
        <f t="shared" ref="I51:L51" si="29">I146</f>
        <v>48627</v>
      </c>
      <c r="J51" s="2">
        <f t="shared" si="29"/>
        <v>53665.979591836731</v>
      </c>
      <c r="K51" s="2">
        <f t="shared" ca="1" si="29"/>
        <v>58221.864275693224</v>
      </c>
      <c r="L51" s="2">
        <f t="shared" ca="1" si="29"/>
        <v>62052.219985167016</v>
      </c>
      <c r="M51" s="2"/>
      <c r="N51" s="2"/>
      <c r="P51" t="s">
        <v>20</v>
      </c>
      <c r="Q51" s="5"/>
    </row>
    <row r="52" spans="3:17" x14ac:dyDescent="0.3">
      <c r="C52" t="s">
        <v>19</v>
      </c>
      <c r="D52"/>
      <c r="E52" s="6">
        <v>18177</v>
      </c>
      <c r="F52" s="6">
        <v>22283</v>
      </c>
      <c r="G52" s="6">
        <v>32978</v>
      </c>
      <c r="H52" s="2">
        <f ca="1">G52*(1+H37)</f>
        <v>32067.462949805129</v>
      </c>
      <c r="I52" s="2">
        <f t="shared" ref="I52:L52" ca="1" si="30">H52*(1+I37)</f>
        <v>33637.471804821384</v>
      </c>
      <c r="J52" s="2">
        <f t="shared" ca="1" si="30"/>
        <v>35289.195347974579</v>
      </c>
      <c r="K52" s="2">
        <f t="shared" ca="1" si="30"/>
        <v>37213.391186761692</v>
      </c>
      <c r="L52" s="2">
        <f t="shared" ca="1" si="30"/>
        <v>39455.451987437053</v>
      </c>
      <c r="M52" s="2"/>
      <c r="N52" s="2"/>
      <c r="P52" t="s">
        <v>9</v>
      </c>
      <c r="Q52" s="2"/>
    </row>
    <row r="53" spans="3:17" x14ac:dyDescent="0.3">
      <c r="C53" s="4" t="s">
        <v>18</v>
      </c>
      <c r="D53" s="4"/>
      <c r="E53" s="8">
        <f>SUM(E46:E52)</f>
        <v>375319</v>
      </c>
      <c r="F53" s="8">
        <f t="shared" ref="F53" si="31">SUM(F46:F52)</f>
        <v>365725</v>
      </c>
      <c r="G53" s="8">
        <f t="shared" ref="G53:L53" si="32">SUM(G46:G52)</f>
        <v>338516</v>
      </c>
      <c r="H53" s="8">
        <f t="shared" ca="1" si="32"/>
        <v>317257.19129152491</v>
      </c>
      <c r="I53" s="8">
        <f t="shared" ca="1" si="32"/>
        <v>303746.02093285567</v>
      </c>
      <c r="J53" s="8">
        <f t="shared" ca="1" si="32"/>
        <v>293689.22147367685</v>
      </c>
      <c r="K53" s="8">
        <f t="shared" ca="1" si="32"/>
        <v>288121.42324885825</v>
      </c>
      <c r="L53" s="8">
        <f t="shared" ca="1" si="32"/>
        <v>287745.9217254871</v>
      </c>
      <c r="M53" s="8"/>
      <c r="N53" s="8"/>
      <c r="Q53" s="5"/>
    </row>
    <row r="54" spans="3:17" x14ac:dyDescent="0.3">
      <c r="C54" s="7"/>
      <c r="D54" s="7"/>
      <c r="E54" s="2"/>
      <c r="F54" s="2"/>
      <c r="G54" s="2"/>
      <c r="H54" s="2"/>
      <c r="I54" s="2"/>
      <c r="J54" s="2"/>
      <c r="K54" s="2"/>
      <c r="L54" s="2"/>
      <c r="M54" s="2"/>
      <c r="N54" s="2"/>
    </row>
    <row r="55" spans="3:17" x14ac:dyDescent="0.3">
      <c r="C55" s="7" t="s">
        <v>17</v>
      </c>
      <c r="D55" s="7"/>
      <c r="E55" s="6">
        <v>44242</v>
      </c>
      <c r="F55" s="6">
        <v>55888</v>
      </c>
      <c r="G55" s="6">
        <v>46236</v>
      </c>
      <c r="H55" s="2">
        <f ca="1">G55*(H19/G19)</f>
        <v>44972.250566750983</v>
      </c>
      <c r="I55" s="2">
        <f t="shared" ref="I55:L55" ca="1" si="33">H55*(I19/H19)</f>
        <v>47022.387017394671</v>
      </c>
      <c r="J55" s="2">
        <f t="shared" ca="1" si="33"/>
        <v>49172.225694368382</v>
      </c>
      <c r="K55" s="2">
        <f t="shared" ca="1" si="33"/>
        <v>51853.414401903894</v>
      </c>
      <c r="L55" s="2">
        <f t="shared" ca="1" si="33"/>
        <v>54977.518497341502</v>
      </c>
      <c r="M55" s="2"/>
      <c r="N55" s="2"/>
      <c r="P55" t="s">
        <v>16</v>
      </c>
    </row>
    <row r="56" spans="3:17" x14ac:dyDescent="0.3">
      <c r="C56" s="7" t="s">
        <v>15</v>
      </c>
      <c r="D56" s="7"/>
      <c r="E56" s="6">
        <v>30551</v>
      </c>
      <c r="F56" s="6">
        <v>32687</v>
      </c>
      <c r="G56" s="6">
        <v>37720</v>
      </c>
      <c r="H56" s="2">
        <f ca="1">G56*(1+H37)</f>
        <v>36678.534249094831</v>
      </c>
      <c r="I56" s="2">
        <f t="shared" ref="I56:L56" ca="1" si="34">H56*(1+I37)</f>
        <v>38474.299122986915</v>
      </c>
      <c r="J56" s="2">
        <f t="shared" ca="1" si="34"/>
        <v>40363.528671405213</v>
      </c>
      <c r="K56" s="2">
        <f t="shared" ca="1" si="34"/>
        <v>42564.410078375004</v>
      </c>
      <c r="L56" s="2">
        <f t="shared" ca="1" si="34"/>
        <v>45128.863150164521</v>
      </c>
      <c r="M56" s="2"/>
      <c r="N56" s="2"/>
      <c r="P56" t="s">
        <v>9</v>
      </c>
    </row>
    <row r="57" spans="3:17" x14ac:dyDescent="0.3">
      <c r="C57" s="7" t="s">
        <v>14</v>
      </c>
      <c r="D57" s="7"/>
      <c r="E57" s="6">
        <f>7548+2836</f>
        <v>10384</v>
      </c>
      <c r="F57" s="6">
        <f>7543+2797</f>
        <v>10340</v>
      </c>
      <c r="G57" s="6">
        <v>5522</v>
      </c>
      <c r="H57" s="2">
        <f ca="1">G57*(1+H37)</f>
        <v>5369.5351570387511</v>
      </c>
      <c r="I57" s="2">
        <f t="shared" ref="I57:L57" ca="1" si="35">H57*(1+I37)</f>
        <v>5632.4252321615531</v>
      </c>
      <c r="J57" s="2">
        <f t="shared" ca="1" si="35"/>
        <v>5908.9980202412407</v>
      </c>
      <c r="K57" s="2">
        <f t="shared" ca="1" si="35"/>
        <v>6231.1949218660338</v>
      </c>
      <c r="L57" s="2">
        <f t="shared" ca="1" si="35"/>
        <v>6606.6167103713815</v>
      </c>
      <c r="M57" s="2"/>
      <c r="N57" s="2"/>
      <c r="P57" t="s">
        <v>9</v>
      </c>
      <c r="Q57" s="2"/>
    </row>
    <row r="58" spans="3:17" x14ac:dyDescent="0.3">
      <c r="C58" s="7" t="s">
        <v>13</v>
      </c>
      <c r="D58" s="7"/>
      <c r="E58" s="6">
        <v>11977</v>
      </c>
      <c r="F58" s="6">
        <v>11964</v>
      </c>
      <c r="G58" s="6">
        <v>5980</v>
      </c>
      <c r="H58" s="79">
        <f ca="1">H200</f>
        <v>12000</v>
      </c>
      <c r="I58" s="79">
        <f t="shared" ref="I58:L58" ca="1" si="36">I200</f>
        <v>12000</v>
      </c>
      <c r="J58" s="79">
        <f t="shared" ca="1" si="36"/>
        <v>12000</v>
      </c>
      <c r="K58" s="79">
        <f t="shared" ca="1" si="36"/>
        <v>12000</v>
      </c>
      <c r="L58" s="79">
        <f t="shared" ca="1" si="36"/>
        <v>12000</v>
      </c>
      <c r="M58" s="79"/>
      <c r="N58" s="79"/>
      <c r="P58" t="s">
        <v>12</v>
      </c>
    </row>
    <row r="59" spans="3:17" x14ac:dyDescent="0.3">
      <c r="C59" s="7" t="s">
        <v>11</v>
      </c>
      <c r="D59" s="7"/>
      <c r="E59" s="6">
        <f>6496+97207</f>
        <v>103703</v>
      </c>
      <c r="F59" s="6">
        <f>8784+93735</f>
        <v>102519</v>
      </c>
      <c r="G59" s="6">
        <f>91807+10260</f>
        <v>102067</v>
      </c>
      <c r="H59" s="2">
        <f>G59</f>
        <v>102067</v>
      </c>
      <c r="I59" s="2">
        <f t="shared" ref="I59:L59" si="37">H59</f>
        <v>102067</v>
      </c>
      <c r="J59" s="2">
        <f t="shared" si="37"/>
        <v>102067</v>
      </c>
      <c r="K59" s="2">
        <f t="shared" si="37"/>
        <v>102067</v>
      </c>
      <c r="L59" s="2">
        <f t="shared" si="37"/>
        <v>102067</v>
      </c>
      <c r="M59" s="2"/>
      <c r="N59" s="2"/>
      <c r="P59" t="s">
        <v>2</v>
      </c>
    </row>
    <row r="60" spans="3:17" x14ac:dyDescent="0.3">
      <c r="C60" s="7" t="s">
        <v>10</v>
      </c>
      <c r="D60" s="7"/>
      <c r="E60" s="6">
        <v>40415</v>
      </c>
      <c r="F60" s="6">
        <v>45180</v>
      </c>
      <c r="G60" s="6">
        <v>50503</v>
      </c>
      <c r="H60" s="2">
        <f ca="1">G60*(1+H37)</f>
        <v>49108.590010128217</v>
      </c>
      <c r="I60" s="2">
        <f t="shared" ref="I60:L60" ca="1" si="38">H60*(1+I37)</f>
        <v>51512.924936590891</v>
      </c>
      <c r="J60" s="2">
        <f t="shared" ca="1" si="38"/>
        <v>54042.398952597498</v>
      </c>
      <c r="K60" s="2">
        <f t="shared" ca="1" si="38"/>
        <v>56989.141097247426</v>
      </c>
      <c r="L60" s="2">
        <f t="shared" ca="1" si="38"/>
        <v>60422.666375205699</v>
      </c>
      <c r="M60" s="2"/>
      <c r="N60" s="2"/>
      <c r="P60" t="s">
        <v>9</v>
      </c>
    </row>
    <row r="61" spans="3:17" x14ac:dyDescent="0.3">
      <c r="C61" s="4" t="s">
        <v>8</v>
      </c>
      <c r="D61" s="4"/>
      <c r="E61" s="8">
        <f>SUM(E55:E60)</f>
        <v>241272</v>
      </c>
      <c r="F61" s="8">
        <f>SUM(F55:F60)</f>
        <v>258578</v>
      </c>
      <c r="G61" s="8">
        <f>SUM(G55:G60)</f>
        <v>248028</v>
      </c>
      <c r="H61" s="8">
        <f t="shared" ref="H61:L61" ca="1" si="39">SUM(H55:H60)</f>
        <v>250195.90998301277</v>
      </c>
      <c r="I61" s="8">
        <f t="shared" ca="1" si="39"/>
        <v>256709.03630913404</v>
      </c>
      <c r="J61" s="8">
        <f t="shared" ca="1" si="39"/>
        <v>263554.15133861237</v>
      </c>
      <c r="K61" s="8">
        <f t="shared" ca="1" si="39"/>
        <v>271705.16049939237</v>
      </c>
      <c r="L61" s="8">
        <f t="shared" ca="1" si="39"/>
        <v>281202.6647330831</v>
      </c>
      <c r="M61" s="8"/>
      <c r="N61" s="8"/>
    </row>
    <row r="62" spans="3:17" x14ac:dyDescent="0.3">
      <c r="C62" s="4"/>
      <c r="D62" s="4"/>
      <c r="E62" s="8"/>
      <c r="F62" s="8"/>
      <c r="G62" s="8"/>
      <c r="H62" s="2"/>
      <c r="I62" s="2"/>
      <c r="J62" s="2"/>
      <c r="K62" s="2"/>
      <c r="L62" s="2"/>
      <c r="M62" s="2"/>
      <c r="N62" s="2"/>
    </row>
    <row r="63" spans="3:17" x14ac:dyDescent="0.3">
      <c r="C63" s="7" t="s">
        <v>7</v>
      </c>
      <c r="D63" s="7"/>
      <c r="E63" s="6">
        <v>35867</v>
      </c>
      <c r="F63" s="47">
        <v>40201</v>
      </c>
      <c r="G63" s="47">
        <v>45174</v>
      </c>
      <c r="H63" s="2">
        <f ca="1">G63+H33</f>
        <v>51074.45985746308</v>
      </c>
      <c r="I63" s="2">
        <f t="shared" ref="I63:L63" ca="1" si="40">H63+I33</f>
        <v>57263.803629421847</v>
      </c>
      <c r="J63" s="2">
        <f t="shared" ca="1" si="40"/>
        <v>63757.066937430514</v>
      </c>
      <c r="K63" s="2">
        <f t="shared" ca="1" si="40"/>
        <v>70604.385080473454</v>
      </c>
      <c r="L63" s="2">
        <f t="shared" ca="1" si="40"/>
        <v>77864.245674195568</v>
      </c>
      <c r="M63" s="2"/>
      <c r="N63" s="2"/>
      <c r="P63" t="s">
        <v>6</v>
      </c>
    </row>
    <row r="64" spans="3:17" x14ac:dyDescent="0.3">
      <c r="C64" s="7" t="s">
        <v>5</v>
      </c>
      <c r="D64" s="7"/>
      <c r="E64" s="6">
        <v>98330</v>
      </c>
      <c r="F64" s="6">
        <v>70400</v>
      </c>
      <c r="G64" s="6">
        <v>45898</v>
      </c>
      <c r="H64" s="5">
        <f ca="1">H184</f>
        <v>16570.821451049007</v>
      </c>
      <c r="I64" s="5">
        <f t="shared" ref="I64:L64" ca="1" si="41">I184</f>
        <v>-9642.8190057002357</v>
      </c>
      <c r="J64" s="5">
        <f t="shared" ca="1" si="41"/>
        <v>-33037.996802366011</v>
      </c>
      <c r="K64" s="5">
        <f t="shared" ca="1" si="41"/>
        <v>-53604.122331007478</v>
      </c>
      <c r="L64" s="5">
        <f t="shared" ca="1" si="41"/>
        <v>-70736.988681791525</v>
      </c>
      <c r="N64" s="5"/>
      <c r="P64" t="s">
        <v>4</v>
      </c>
      <c r="Q64" s="2"/>
    </row>
    <row r="65" spans="2:16" x14ac:dyDescent="0.3">
      <c r="C65" s="7" t="s">
        <v>3</v>
      </c>
      <c r="D65" s="7"/>
      <c r="E65" s="45">
        <v>-150</v>
      </c>
      <c r="F65" s="45">
        <v>-3454</v>
      </c>
      <c r="G65" s="45">
        <v>-584</v>
      </c>
      <c r="H65" s="5">
        <f>G65</f>
        <v>-584</v>
      </c>
      <c r="I65" s="5">
        <f t="shared" ref="I65:L65" si="42">H65</f>
        <v>-584</v>
      </c>
      <c r="J65" s="5">
        <f t="shared" si="42"/>
        <v>-584</v>
      </c>
      <c r="K65" s="5">
        <f t="shared" si="42"/>
        <v>-584</v>
      </c>
      <c r="L65" s="5">
        <f t="shared" si="42"/>
        <v>-584</v>
      </c>
      <c r="N65" s="5"/>
      <c r="P65" t="s">
        <v>2</v>
      </c>
    </row>
    <row r="66" spans="2:16" x14ac:dyDescent="0.3">
      <c r="C66" s="4" t="s">
        <v>1</v>
      </c>
      <c r="D66" s="4"/>
      <c r="E66" s="3">
        <f>SUM(E63:E65)</f>
        <v>134047</v>
      </c>
      <c r="F66" s="3">
        <f>SUM(F63:F65)</f>
        <v>107147</v>
      </c>
      <c r="G66" s="3">
        <f>SUM(G63:G65)</f>
        <v>90488</v>
      </c>
      <c r="H66" s="3">
        <f t="shared" ref="H66:L66" ca="1" si="43">SUM(H63:H65)</f>
        <v>67061.281308512087</v>
      </c>
      <c r="I66" s="3">
        <f t="shared" ca="1" si="43"/>
        <v>47036.984623721612</v>
      </c>
      <c r="J66" s="3">
        <f t="shared" ca="1" si="43"/>
        <v>30135.070135064503</v>
      </c>
      <c r="K66" s="3">
        <f t="shared" ca="1" si="43"/>
        <v>16416.262749465976</v>
      </c>
      <c r="L66" s="3">
        <f t="shared" ca="1" si="43"/>
        <v>6543.2569924040436</v>
      </c>
      <c r="M66" s="3"/>
      <c r="N66" s="3"/>
      <c r="P66" s="5"/>
    </row>
    <row r="67" spans="2:16" x14ac:dyDescent="0.3">
      <c r="D67"/>
      <c r="E67" s="2"/>
      <c r="F67" s="2"/>
      <c r="G67" s="2"/>
      <c r="H67"/>
      <c r="I67"/>
      <c r="J67"/>
      <c r="K67"/>
      <c r="L67"/>
      <c r="M67"/>
      <c r="P67" s="5"/>
    </row>
    <row r="68" spans="2:16" x14ac:dyDescent="0.3">
      <c r="C68" s="48" t="s">
        <v>0</v>
      </c>
      <c r="D68" s="48"/>
      <c r="E68" s="52">
        <f>ROUND(E53-E61-E66,3)</f>
        <v>0</v>
      </c>
      <c r="F68" s="52">
        <f>ROUND(F53-F61-F66,3)</f>
        <v>0</v>
      </c>
      <c r="G68" s="52">
        <f>ROUND(G53-G61-G66,3)</f>
        <v>0</v>
      </c>
      <c r="H68" s="52">
        <f t="shared" ref="H68:L68" ca="1" si="44">ROUND(H53-H61-H66,3)</f>
        <v>0</v>
      </c>
      <c r="I68" s="52">
        <f t="shared" ca="1" si="44"/>
        <v>0</v>
      </c>
      <c r="J68" s="52">
        <f t="shared" ca="1" si="44"/>
        <v>0</v>
      </c>
      <c r="K68" s="52">
        <f t="shared" ca="1" si="44"/>
        <v>0</v>
      </c>
      <c r="L68" s="52">
        <f t="shared" ca="1" si="44"/>
        <v>0</v>
      </c>
      <c r="M68" s="52"/>
      <c r="N68" s="52"/>
      <c r="P68" s="5"/>
    </row>
    <row r="69" spans="2:16" x14ac:dyDescent="0.3">
      <c r="D69"/>
      <c r="E69"/>
      <c r="F69"/>
      <c r="G69"/>
      <c r="H69"/>
      <c r="I69"/>
      <c r="J69"/>
      <c r="K69"/>
      <c r="L69"/>
      <c r="M69"/>
    </row>
    <row r="70" spans="2:16" x14ac:dyDescent="0.3">
      <c r="B70" t="s">
        <v>82</v>
      </c>
      <c r="C70" s="15" t="s">
        <v>83</v>
      </c>
      <c r="D70" s="15"/>
      <c r="E70" s="10"/>
      <c r="F70" s="10"/>
      <c r="G70" s="10"/>
      <c r="H70" s="49"/>
      <c r="I70" s="49"/>
      <c r="J70" s="49"/>
      <c r="K70" s="49"/>
      <c r="L70" s="49"/>
      <c r="M70" s="157"/>
      <c r="N70" s="157"/>
    </row>
    <row r="71" spans="2:16" x14ac:dyDescent="0.3">
      <c r="C71" t="s">
        <v>69</v>
      </c>
      <c r="D71"/>
      <c r="E71" s="34"/>
      <c r="F71" s="34"/>
      <c r="G71" s="34"/>
      <c r="H71" s="33">
        <f>H15</f>
        <v>2020</v>
      </c>
      <c r="I71" s="33">
        <f>H71+1</f>
        <v>2021</v>
      </c>
      <c r="J71" s="33">
        <f>I71+1</f>
        <v>2022</v>
      </c>
      <c r="K71" s="33">
        <f>J71+1</f>
        <v>2023</v>
      </c>
      <c r="L71" s="33">
        <f>K71+1</f>
        <v>2024</v>
      </c>
      <c r="M71" s="33"/>
      <c r="N71" s="33"/>
    </row>
    <row r="72" spans="2:16" x14ac:dyDescent="0.3">
      <c r="C72" s="32" t="s">
        <v>68</v>
      </c>
      <c r="D72" s="211"/>
      <c r="E72" s="31"/>
      <c r="F72" s="31"/>
      <c r="G72" s="31"/>
      <c r="H72" s="31">
        <f>H16</f>
        <v>44104</v>
      </c>
      <c r="I72" s="31">
        <f>EOMONTH(H72,12)</f>
        <v>44469</v>
      </c>
      <c r="J72" s="31">
        <f>EOMONTH(I72,12)</f>
        <v>44834</v>
      </c>
      <c r="K72" s="31">
        <f>EOMONTH(J72,12)</f>
        <v>45199</v>
      </c>
      <c r="L72" s="31">
        <f>EOMONTH(K72,12)</f>
        <v>45565</v>
      </c>
      <c r="M72" s="155"/>
      <c r="N72" s="155"/>
    </row>
    <row r="73" spans="2:16" x14ac:dyDescent="0.3">
      <c r="D73"/>
      <c r="E73"/>
      <c r="F73"/>
      <c r="G73"/>
      <c r="H73"/>
      <c r="I73"/>
      <c r="J73"/>
      <c r="K73"/>
      <c r="L73"/>
      <c r="M73"/>
    </row>
    <row r="74" spans="2:16" x14ac:dyDescent="0.3">
      <c r="C74" t="s">
        <v>44</v>
      </c>
      <c r="D74"/>
      <c r="E74"/>
      <c r="F74"/>
      <c r="G74"/>
      <c r="H74" s="5">
        <f ca="1">H29</f>
        <v>51902.821451049014</v>
      </c>
      <c r="I74" s="5">
        <f t="shared" ref="I74:L74" ca="1" si="45">I29</f>
        <v>55016.359543250757</v>
      </c>
      <c r="J74" s="5">
        <f t="shared" ca="1" si="45"/>
        <v>57834.822203334224</v>
      </c>
      <c r="K74" s="5">
        <f t="shared" ca="1" si="45"/>
        <v>60663.874471358533</v>
      </c>
      <c r="L74" s="5">
        <f t="shared" ca="1" si="45"/>
        <v>64097.133649215946</v>
      </c>
      <c r="N74" s="5"/>
    </row>
    <row r="75" spans="2:16" x14ac:dyDescent="0.3">
      <c r="C75" t="s">
        <v>42</v>
      </c>
      <c r="D75"/>
      <c r="E75"/>
      <c r="F75"/>
      <c r="G75"/>
      <c r="H75" s="62">
        <f ca="1">H31</f>
        <v>8908.426925694399</v>
      </c>
      <c r="I75" s="62">
        <f t="shared" ref="I75:L75" ca="1" si="46">I31</f>
        <v>9261.07952221085</v>
      </c>
      <c r="J75" s="62">
        <f t="shared" ca="1" si="46"/>
        <v>10114.413840115607</v>
      </c>
      <c r="K75" s="62">
        <f t="shared" ca="1" si="46"/>
        <v>11423.770052660848</v>
      </c>
      <c r="L75" s="62">
        <f t="shared" ca="1" si="46"/>
        <v>13112.053464371402</v>
      </c>
      <c r="M75" s="62"/>
      <c r="N75" s="62"/>
    </row>
    <row r="76" spans="2:16" x14ac:dyDescent="0.3">
      <c r="C76" t="s">
        <v>38</v>
      </c>
      <c r="D76"/>
      <c r="E76"/>
      <c r="F76"/>
      <c r="G76"/>
      <c r="H76" s="5">
        <f ca="1">H33</f>
        <v>5900.4598574630818</v>
      </c>
      <c r="I76" s="5">
        <f ca="1">I33</f>
        <v>6189.3437719587655</v>
      </c>
      <c r="J76" s="5">
        <f ca="1">J33</f>
        <v>6493.2633080086653</v>
      </c>
      <c r="K76" s="5">
        <f ca="1">K33</f>
        <v>6847.3181430429358</v>
      </c>
      <c r="L76" s="5">
        <f ca="1">L33</f>
        <v>7259.8605937221191</v>
      </c>
      <c r="N76" s="5"/>
    </row>
    <row r="77" spans="2:16" x14ac:dyDescent="0.3">
      <c r="C77" t="s">
        <v>84</v>
      </c>
      <c r="D77"/>
      <c r="E77"/>
      <c r="F77"/>
      <c r="G77"/>
      <c r="H77" s="5">
        <f ca="1">SUM(G47:G50)-SUM(H47:H50)</f>
        <v>585.16898474435584</v>
      </c>
      <c r="I77" s="5">
        <f t="shared" ref="I77:L77" ca="1" si="47">SUM(H47:H50)-SUM(I47:I50)</f>
        <v>-3756.9867016087519</v>
      </c>
      <c r="J77" s="5">
        <f t="shared" ca="1" si="47"/>
        <v>-2280.5727052046641</v>
      </c>
      <c r="K77" s="5">
        <f t="shared" ca="1" si="47"/>
        <v>-4609.3632615223905</v>
      </c>
      <c r="L77" s="5">
        <f t="shared" ca="1" si="47"/>
        <v>-3434.0828429789399</v>
      </c>
      <c r="N77" s="5"/>
    </row>
    <row r="78" spans="2:16" x14ac:dyDescent="0.3">
      <c r="C78" t="s">
        <v>85</v>
      </c>
      <c r="D78"/>
      <c r="E78"/>
      <c r="F78"/>
      <c r="G78"/>
      <c r="H78" s="5">
        <f ca="1">SUM(H55:H57)-SUM(G55:G57)</f>
        <v>-2457.6800271154352</v>
      </c>
      <c r="I78" s="5">
        <f t="shared" ref="I78:L78" ca="1" si="48">SUM(I55:I57)-SUM(H55:H57)</f>
        <v>4108.7913996585703</v>
      </c>
      <c r="J78" s="5">
        <f t="shared" ca="1" si="48"/>
        <v>4315.6410134717007</v>
      </c>
      <c r="K78" s="5">
        <f t="shared" ca="1" si="48"/>
        <v>5204.2670161300921</v>
      </c>
      <c r="L78" s="5">
        <f t="shared" ca="1" si="48"/>
        <v>6063.9789557324839</v>
      </c>
      <c r="N78" s="5"/>
    </row>
    <row r="79" spans="2:16" x14ac:dyDescent="0.3">
      <c r="C79" t="str">
        <f>C52</f>
        <v>Other non current assets</v>
      </c>
      <c r="D79"/>
      <c r="E79"/>
      <c r="F79"/>
      <c r="G79"/>
      <c r="H79" s="62">
        <f ca="1">-H176</f>
        <v>-302.03273264238419</v>
      </c>
      <c r="I79" s="62">
        <f t="shared" ref="I79:L79" ca="1" si="49">-I176</f>
        <v>-2841.9455200842476</v>
      </c>
      <c r="J79" s="62">
        <f t="shared" ca="1" si="49"/>
        <v>-2986.1169751055368</v>
      </c>
      <c r="K79" s="62">
        <f t="shared" ca="1" si="49"/>
        <v>-3331.3490563834448</v>
      </c>
      <c r="L79" s="62">
        <f t="shared" ca="1" si="49"/>
        <v>-3733.9932595368446</v>
      </c>
      <c r="M79" s="62"/>
      <c r="N79" s="62"/>
    </row>
    <row r="80" spans="2:16" x14ac:dyDescent="0.3">
      <c r="C80" s="69" t="str">
        <f>C60</f>
        <v>Other non current liabilities</v>
      </c>
      <c r="D80" s="69"/>
      <c r="E80" s="69"/>
      <c r="F80" s="69"/>
      <c r="G80" s="69"/>
      <c r="H80" s="66">
        <f ca="1">H60-G60</f>
        <v>-1394.4099898717832</v>
      </c>
      <c r="I80" s="66">
        <f t="shared" ref="I80:L80" ca="1" si="50">I60-H60</f>
        <v>2404.334926462674</v>
      </c>
      <c r="J80" s="66">
        <f t="shared" ca="1" si="50"/>
        <v>2529.4740160066067</v>
      </c>
      <c r="K80" s="66">
        <f t="shared" ca="1" si="50"/>
        <v>2946.7421446499284</v>
      </c>
      <c r="L80" s="66">
        <f t="shared" ca="1" si="50"/>
        <v>3433.5252779582734</v>
      </c>
      <c r="M80" s="60"/>
      <c r="N80" s="60"/>
    </row>
    <row r="81" spans="2:15" x14ac:dyDescent="0.3">
      <c r="B81" t="s">
        <v>82</v>
      </c>
      <c r="C81" s="22" t="s">
        <v>86</v>
      </c>
      <c r="D81" s="22"/>
      <c r="E81"/>
      <c r="F81"/>
      <c r="G81"/>
      <c r="H81" s="50">
        <f ca="1">SUM(H74:H80)</f>
        <v>63142.754469321255</v>
      </c>
      <c r="I81" s="50">
        <f t="shared" ref="I81:L81" ca="1" si="51">SUM(I74:I80)</f>
        <v>70380.97694184861</v>
      </c>
      <c r="J81" s="50">
        <f t="shared" ca="1" si="51"/>
        <v>76020.92470062658</v>
      </c>
      <c r="K81" s="50">
        <f t="shared" ca="1" si="51"/>
        <v>79145.259509936499</v>
      </c>
      <c r="L81" s="50">
        <f t="shared" ca="1" si="51"/>
        <v>86798.475838484446</v>
      </c>
      <c r="M81" s="50"/>
      <c r="N81" s="50"/>
    </row>
    <row r="82" spans="2:15" x14ac:dyDescent="0.3">
      <c r="D82"/>
      <c r="E82"/>
      <c r="F82"/>
      <c r="G82"/>
      <c r="N82" s="5"/>
    </row>
    <row r="83" spans="2:15" x14ac:dyDescent="0.3">
      <c r="C83" s="69" t="s">
        <v>87</v>
      </c>
      <c r="D83" s="69"/>
      <c r="E83" s="69"/>
      <c r="F83" s="69"/>
      <c r="G83" s="69"/>
      <c r="H83" s="66">
        <f>-H144</f>
        <v>-13285</v>
      </c>
      <c r="I83" s="66">
        <f t="shared" ref="I83:L83" si="52">-I144</f>
        <v>-13649</v>
      </c>
      <c r="J83" s="66">
        <f t="shared" si="52"/>
        <v>-13819</v>
      </c>
      <c r="K83" s="66">
        <f t="shared" ca="1" si="52"/>
        <v>-14572.50151892101</v>
      </c>
      <c r="L83" s="66">
        <f t="shared" ca="1" si="52"/>
        <v>-15450.476714983708</v>
      </c>
      <c r="M83" s="60"/>
      <c r="N83" s="60"/>
    </row>
    <row r="84" spans="2:15" x14ac:dyDescent="0.3">
      <c r="C84" s="22" t="s">
        <v>90</v>
      </c>
      <c r="D84" s="22"/>
      <c r="E84"/>
      <c r="F84"/>
      <c r="G84"/>
      <c r="H84" s="50">
        <f>SUM(H83)</f>
        <v>-13285</v>
      </c>
      <c r="I84" s="50">
        <f t="shared" ref="I84:L84" si="53">SUM(I83)</f>
        <v>-13649</v>
      </c>
      <c r="J84" s="50">
        <f t="shared" si="53"/>
        <v>-13819</v>
      </c>
      <c r="K84" s="50">
        <f t="shared" ca="1" si="53"/>
        <v>-14572.50151892101</v>
      </c>
      <c r="L84" s="50">
        <f t="shared" ca="1" si="53"/>
        <v>-15450.476714983708</v>
      </c>
      <c r="M84" s="50"/>
      <c r="N84" s="50"/>
    </row>
    <row r="85" spans="2:15" x14ac:dyDescent="0.3">
      <c r="D85"/>
      <c r="E85"/>
      <c r="F85"/>
      <c r="G85"/>
      <c r="H85"/>
      <c r="I85"/>
      <c r="J85"/>
      <c r="K85"/>
      <c r="L85"/>
      <c r="M85"/>
    </row>
    <row r="86" spans="2:15" x14ac:dyDescent="0.3">
      <c r="C86" t="str">
        <f>C59</f>
        <v>Long term debt (includes current portion)</v>
      </c>
      <c r="D86"/>
      <c r="E86"/>
      <c r="F86"/>
      <c r="G86"/>
      <c r="H86" s="2">
        <f>G59-H59</f>
        <v>0</v>
      </c>
      <c r="I86" s="2">
        <f t="shared" ref="I86:L86" si="54">H59-I59</f>
        <v>0</v>
      </c>
      <c r="J86" s="2">
        <f t="shared" si="54"/>
        <v>0</v>
      </c>
      <c r="K86" s="2">
        <f t="shared" si="54"/>
        <v>0</v>
      </c>
      <c r="L86" s="2">
        <f t="shared" si="54"/>
        <v>0</v>
      </c>
      <c r="M86" s="2"/>
      <c r="N86" s="2"/>
    </row>
    <row r="87" spans="2:15" x14ac:dyDescent="0.3">
      <c r="C87" t="s">
        <v>13</v>
      </c>
      <c r="D87"/>
      <c r="E87"/>
      <c r="F87"/>
      <c r="G87"/>
      <c r="H87" s="79">
        <f ca="1">H58-G58</f>
        <v>6020</v>
      </c>
      <c r="I87" s="79">
        <f t="shared" ref="I87:L87" ca="1" si="55">I58-H58</f>
        <v>0</v>
      </c>
      <c r="J87" s="79">
        <f t="shared" ca="1" si="55"/>
        <v>0</v>
      </c>
      <c r="K87" s="79">
        <f t="shared" ca="1" si="55"/>
        <v>0</v>
      </c>
      <c r="L87" s="79">
        <f t="shared" ca="1" si="55"/>
        <v>0</v>
      </c>
      <c r="M87" s="79"/>
      <c r="N87" s="79"/>
    </row>
    <row r="88" spans="2:15" x14ac:dyDescent="0.3">
      <c r="C88" t="s">
        <v>88</v>
      </c>
      <c r="D88"/>
      <c r="E88"/>
      <c r="F88"/>
      <c r="G88"/>
      <c r="H88" s="62">
        <f>H183</f>
        <v>-67101</v>
      </c>
      <c r="I88" s="62">
        <f t="shared" ref="I88:L88" si="56">I183</f>
        <v>-67101</v>
      </c>
      <c r="J88" s="62">
        <f t="shared" si="56"/>
        <v>-67101</v>
      </c>
      <c r="K88" s="62">
        <f t="shared" si="56"/>
        <v>-67101</v>
      </c>
      <c r="L88" s="62">
        <f t="shared" si="56"/>
        <v>-67101</v>
      </c>
      <c r="M88" s="62"/>
      <c r="N88" s="62"/>
    </row>
    <row r="89" spans="2:15" x14ac:dyDescent="0.3">
      <c r="C89" s="69" t="s">
        <v>89</v>
      </c>
      <c r="D89" s="69"/>
      <c r="E89" s="69"/>
      <c r="F89" s="69"/>
      <c r="G89" s="69"/>
      <c r="H89" s="71">
        <f>H182</f>
        <v>-14129</v>
      </c>
      <c r="I89" s="71">
        <f t="shared" ref="I89:L89" si="57">I182</f>
        <v>-14129</v>
      </c>
      <c r="J89" s="71">
        <f t="shared" si="57"/>
        <v>-14129</v>
      </c>
      <c r="K89" s="71">
        <f t="shared" si="57"/>
        <v>-14129</v>
      </c>
      <c r="L89" s="71">
        <f t="shared" si="57"/>
        <v>-14129</v>
      </c>
      <c r="M89" s="158"/>
      <c r="N89" s="158"/>
    </row>
    <row r="90" spans="2:15" x14ac:dyDescent="0.3">
      <c r="C90" s="22" t="s">
        <v>91</v>
      </c>
      <c r="D90" s="22"/>
      <c r="E90"/>
      <c r="F90"/>
      <c r="G90"/>
      <c r="H90" s="50">
        <f ca="1">SUM(H86:H89)</f>
        <v>-75210</v>
      </c>
      <c r="I90" s="50">
        <f t="shared" ref="I90:L90" ca="1" si="58">SUM(I86:I89)</f>
        <v>-81230</v>
      </c>
      <c r="J90" s="50">
        <f t="shared" ca="1" si="58"/>
        <v>-81230</v>
      </c>
      <c r="K90" s="50">
        <f t="shared" ca="1" si="58"/>
        <v>-81230</v>
      </c>
      <c r="L90" s="50">
        <f t="shared" ca="1" si="58"/>
        <v>-81230</v>
      </c>
      <c r="M90" s="50"/>
      <c r="N90" s="50"/>
      <c r="O90" s="50"/>
    </row>
    <row r="91" spans="2:15" x14ac:dyDescent="0.3">
      <c r="D91"/>
      <c r="E91"/>
      <c r="F91"/>
      <c r="G91"/>
      <c r="H91"/>
      <c r="I91"/>
      <c r="J91"/>
      <c r="K91"/>
      <c r="L91"/>
      <c r="M91"/>
    </row>
    <row r="92" spans="2:15" x14ac:dyDescent="0.3">
      <c r="C92" s="22" t="s">
        <v>92</v>
      </c>
      <c r="D92" s="22"/>
      <c r="E92"/>
      <c r="F92"/>
      <c r="G92"/>
      <c r="H92" s="50">
        <f ca="1">H81+H84+H90</f>
        <v>-25352.245530678745</v>
      </c>
      <c r="I92" s="50">
        <f t="shared" ref="I92:L92" ca="1" si="59">I81+I84+I90</f>
        <v>-24498.02305815139</v>
      </c>
      <c r="J92" s="50">
        <f t="shared" ca="1" si="59"/>
        <v>-19028.07529937342</v>
      </c>
      <c r="K92" s="50">
        <f t="shared" ca="1" si="59"/>
        <v>-16657.242008984511</v>
      </c>
      <c r="L92" s="50">
        <f t="shared" ca="1" si="59"/>
        <v>-9882.0008764992672</v>
      </c>
      <c r="M92" s="50"/>
      <c r="N92" s="50"/>
    </row>
    <row r="93" spans="2:15" x14ac:dyDescent="0.3">
      <c r="C93" s="22"/>
      <c r="D93" s="22"/>
      <c r="E93"/>
      <c r="F93"/>
      <c r="G93"/>
      <c r="H93" s="50"/>
      <c r="I93" s="50"/>
      <c r="J93" s="50"/>
      <c r="K93" s="50"/>
      <c r="L93" s="50"/>
      <c r="M93" s="50"/>
      <c r="N93" s="50"/>
    </row>
    <row r="94" spans="2:15" ht="15" thickBot="1" x14ac:dyDescent="0.35">
      <c r="B94" t="s">
        <v>82</v>
      </c>
      <c r="C94" s="57" t="s">
        <v>223</v>
      </c>
      <c r="D94" s="57"/>
      <c r="E94" s="57"/>
      <c r="F94" s="170"/>
      <c r="G94" s="170"/>
      <c r="H94" s="170"/>
      <c r="I94" s="170"/>
      <c r="J94" s="170"/>
      <c r="K94" s="170"/>
      <c r="L94" s="170"/>
      <c r="M94" s="180"/>
      <c r="N94" s="50"/>
    </row>
    <row r="95" spans="2:15" x14ac:dyDescent="0.3">
      <c r="C95" s="1" t="s">
        <v>224</v>
      </c>
      <c r="D95" s="1"/>
      <c r="E95" s="34">
        <f>F95-1</f>
        <v>2017</v>
      </c>
      <c r="F95" s="34">
        <f>G95-1</f>
        <v>2018</v>
      </c>
      <c r="G95" s="34">
        <f>YEAR($D$10)</f>
        <v>2019</v>
      </c>
      <c r="H95" s="33">
        <f>G95+1</f>
        <v>2020</v>
      </c>
      <c r="I95" s="33">
        <f>H95+1</f>
        <v>2021</v>
      </c>
      <c r="J95" s="33">
        <f>I95+1</f>
        <v>2022</v>
      </c>
      <c r="K95" s="33">
        <f>J95+1</f>
        <v>2023</v>
      </c>
      <c r="L95" s="33">
        <f>K95+1</f>
        <v>2024</v>
      </c>
      <c r="M95" s="181"/>
      <c r="N95" s="50"/>
    </row>
    <row r="96" spans="2:15" x14ac:dyDescent="0.3">
      <c r="C96" s="29" t="s">
        <v>68</v>
      </c>
      <c r="D96" s="29"/>
      <c r="E96" s="31">
        <f>EOMONTH(F96,-12)</f>
        <v>43008</v>
      </c>
      <c r="F96" s="31">
        <f t="shared" ref="F96" si="60">EOMONTH(G96,-12)</f>
        <v>43373</v>
      </c>
      <c r="G96" s="31">
        <f>$D$10</f>
        <v>43737</v>
      </c>
      <c r="H96" s="31">
        <f>EOMONTH(G96,12)</f>
        <v>44104</v>
      </c>
      <c r="I96" s="31">
        <f>EOMONTH(H96,12)</f>
        <v>44469</v>
      </c>
      <c r="J96" s="31">
        <f>EOMONTH(I96,12)</f>
        <v>44834</v>
      </c>
      <c r="K96" s="31">
        <f>EOMONTH(J96,12)</f>
        <v>45199</v>
      </c>
      <c r="L96" s="31">
        <f>EOMONTH(K96,12)</f>
        <v>45565</v>
      </c>
      <c r="M96" s="182"/>
      <c r="N96" s="50"/>
    </row>
    <row r="97" spans="3:14" x14ac:dyDescent="0.3">
      <c r="D97"/>
      <c r="E97"/>
      <c r="F97" s="89"/>
      <c r="G97" s="89"/>
      <c r="H97" s="89"/>
      <c r="I97" s="89"/>
      <c r="J97" s="89"/>
      <c r="K97" s="89"/>
      <c r="L97" s="89"/>
      <c r="M97" s="89"/>
      <c r="N97" s="50"/>
    </row>
    <row r="98" spans="3:14" x14ac:dyDescent="0.3">
      <c r="C98" s="184" t="s">
        <v>225</v>
      </c>
      <c r="D98" s="184"/>
      <c r="E98" s="184"/>
      <c r="F98" s="215" t="s">
        <v>249</v>
      </c>
      <c r="G98" s="215"/>
      <c r="H98" s="215" t="s">
        <v>250</v>
      </c>
      <c r="I98" s="215"/>
      <c r="J98" s="215"/>
      <c r="K98" s="215"/>
      <c r="L98" s="215"/>
      <c r="M98"/>
      <c r="N98" s="50"/>
    </row>
    <row r="99" spans="3:14" x14ac:dyDescent="0.3">
      <c r="C99" t="s">
        <v>134</v>
      </c>
      <c r="D99"/>
      <c r="E99"/>
      <c r="F99" s="89"/>
      <c r="G99" s="89"/>
      <c r="H99" s="172">
        <f>G101</f>
        <v>22926</v>
      </c>
      <c r="I99" s="172">
        <f t="shared" ref="I99:L99" ca="1" si="61">H101</f>
        <v>24206.473303013707</v>
      </c>
      <c r="J99" s="172">
        <f t="shared" ca="1" si="61"/>
        <v>25233.585123287659</v>
      </c>
      <c r="K99" s="172">
        <f t="shared" ca="1" si="61"/>
        <v>26634.161951893868</v>
      </c>
      <c r="L99" s="172">
        <f t="shared" ca="1" si="61"/>
        <v>28061.751141390268</v>
      </c>
      <c r="M99"/>
      <c r="N99" s="50"/>
    </row>
    <row r="100" spans="3:14" x14ac:dyDescent="0.3">
      <c r="C100" t="s">
        <v>226</v>
      </c>
      <c r="D100"/>
      <c r="E100"/>
      <c r="F100" s="89"/>
      <c r="G100" s="89"/>
      <c r="H100" s="172">
        <f ca="1">H101-H99</f>
        <v>1280.4733030137068</v>
      </c>
      <c r="I100" s="172">
        <f t="shared" ref="I100:L100" ca="1" si="62">I101-I99</f>
        <v>1027.1118202739526</v>
      </c>
      <c r="J100" s="172">
        <f t="shared" ca="1" si="62"/>
        <v>1400.5768286062084</v>
      </c>
      <c r="K100" s="172">
        <f t="shared" ca="1" si="62"/>
        <v>1427.5891894964006</v>
      </c>
      <c r="L100" s="172">
        <f t="shared" ca="1" si="62"/>
        <v>1867.7719370440827</v>
      </c>
      <c r="M100"/>
      <c r="N100" s="50"/>
    </row>
    <row r="101" spans="3:14" x14ac:dyDescent="0.3">
      <c r="C101" t="s">
        <v>103</v>
      </c>
      <c r="D101"/>
      <c r="E101" s="106"/>
      <c r="F101" s="106">
        <f t="shared" ref="F101" si="63">F47</f>
        <v>23186</v>
      </c>
      <c r="G101" s="106">
        <f>G47</f>
        <v>22926</v>
      </c>
      <c r="H101" s="185">
        <f ca="1">IF($H$105=1,G101*(1+H107),2*H18*H108/365-H99)</f>
        <v>24206.473303013707</v>
      </c>
      <c r="I101" s="185">
        <f t="shared" ref="I101:L101" ca="1" si="64">IF($H$105=1,H101*(1+I107),2*I18*I108/365-I99)</f>
        <v>25233.585123287659</v>
      </c>
      <c r="J101" s="185">
        <f t="shared" ca="1" si="64"/>
        <v>26634.161951893868</v>
      </c>
      <c r="K101" s="185">
        <f t="shared" ca="1" si="64"/>
        <v>28061.751141390268</v>
      </c>
      <c r="L101" s="185">
        <f t="shared" ca="1" si="64"/>
        <v>29929.523078434351</v>
      </c>
      <c r="M101"/>
      <c r="N101" s="50"/>
    </row>
    <row r="102" spans="3:14" x14ac:dyDescent="0.3">
      <c r="D102"/>
      <c r="E102"/>
      <c r="F102" s="89"/>
      <c r="G102" s="89"/>
      <c r="H102" s="89"/>
      <c r="I102" s="89"/>
      <c r="J102" s="89"/>
      <c r="K102" s="89"/>
      <c r="L102" s="89"/>
      <c r="M102"/>
      <c r="N102" s="50"/>
    </row>
    <row r="103" spans="3:14" x14ac:dyDescent="0.3">
      <c r="C103" t="s">
        <v>227</v>
      </c>
      <c r="D103"/>
      <c r="E103"/>
      <c r="F103" s="89"/>
      <c r="G103" s="173">
        <f>AVERAGE(F101:G101)/G18</f>
        <v>8.8617617440635885E-2</v>
      </c>
      <c r="H103" s="173">
        <f t="shared" ref="H103:L103" ca="1" si="65">AVERAGE(G101:H101)/H18</f>
        <v>9.3150684931506869E-2</v>
      </c>
      <c r="I103" s="173">
        <f t="shared" ca="1" si="65"/>
        <v>9.3150684931506841E-2</v>
      </c>
      <c r="J103" s="173">
        <f t="shared" ca="1" si="65"/>
        <v>9.3150684931506841E-2</v>
      </c>
      <c r="K103" s="173">
        <f t="shared" ca="1" si="65"/>
        <v>9.3150684931506841E-2</v>
      </c>
      <c r="L103" s="173">
        <f t="shared" ca="1" si="65"/>
        <v>9.3150684931506841E-2</v>
      </c>
      <c r="M103"/>
      <c r="N103" s="50"/>
    </row>
    <row r="104" spans="3:14" x14ac:dyDescent="0.3">
      <c r="D104"/>
      <c r="E104"/>
      <c r="F104" s="89"/>
      <c r="G104" s="89"/>
      <c r="H104" s="89"/>
      <c r="I104" s="89"/>
      <c r="J104" s="89"/>
      <c r="K104" s="89"/>
      <c r="L104" s="89"/>
      <c r="M104"/>
      <c r="N104" s="50"/>
    </row>
    <row r="105" spans="3:14" x14ac:dyDescent="0.3">
      <c r="C105" t="s">
        <v>228</v>
      </c>
      <c r="D105"/>
      <c r="E105"/>
      <c r="F105" s="89"/>
      <c r="G105" s="89"/>
      <c r="H105" s="174">
        <v>2</v>
      </c>
      <c r="J105" s="89"/>
      <c r="K105" s="89"/>
      <c r="L105" s="89"/>
      <c r="M105"/>
      <c r="N105" s="50"/>
    </row>
    <row r="106" spans="3:14" x14ac:dyDescent="0.3">
      <c r="D106"/>
      <c r="E106"/>
      <c r="F106" s="89"/>
      <c r="G106" s="89"/>
      <c r="H106" s="89"/>
      <c r="I106" s="89"/>
      <c r="J106" s="89"/>
      <c r="K106" s="89"/>
      <c r="L106" s="89"/>
      <c r="M106"/>
      <c r="N106" s="50"/>
    </row>
    <row r="107" spans="3:14" x14ac:dyDescent="0.3">
      <c r="C107" t="s">
        <v>229</v>
      </c>
      <c r="D107"/>
      <c r="E107"/>
      <c r="F107" s="89"/>
      <c r="G107" s="89"/>
      <c r="H107" s="188">
        <f ca="1">H37</f>
        <v>-2.7610438783275848E-2</v>
      </c>
      <c r="I107" s="188">
        <f t="shared" ref="I107:L107" ca="1" si="66">I37</f>
        <v>4.8959559335073566E-2</v>
      </c>
      <c r="J107" s="188">
        <f t="shared" ca="1" si="66"/>
        <v>4.9103676778599281E-2</v>
      </c>
      <c r="K107" s="188">
        <f t="shared" ca="1" si="66"/>
        <v>5.452648664310078E-2</v>
      </c>
      <c r="L107" s="188">
        <f t="shared" ca="1" si="66"/>
        <v>6.0248763393349503E-2</v>
      </c>
      <c r="M107"/>
      <c r="N107" s="50"/>
    </row>
    <row r="108" spans="3:14" x14ac:dyDescent="0.3">
      <c r="C108" t="s">
        <v>230</v>
      </c>
      <c r="D108"/>
      <c r="E108"/>
      <c r="F108" s="89"/>
      <c r="G108" s="186">
        <f>G103*365</f>
        <v>32.345430365832101</v>
      </c>
      <c r="H108" s="187">
        <v>34</v>
      </c>
      <c r="I108" s="187">
        <v>34</v>
      </c>
      <c r="J108" s="187">
        <v>34</v>
      </c>
      <c r="K108" s="187">
        <v>34</v>
      </c>
      <c r="L108" s="187">
        <v>34</v>
      </c>
      <c r="M108"/>
      <c r="N108" s="50"/>
    </row>
    <row r="109" spans="3:14" x14ac:dyDescent="0.3">
      <c r="D109"/>
      <c r="E109"/>
      <c r="F109" s="89"/>
      <c r="G109" s="89"/>
      <c r="H109" s="89"/>
      <c r="I109" s="89"/>
      <c r="J109" s="89"/>
      <c r="K109" s="89"/>
      <c r="L109" s="89"/>
      <c r="M109"/>
      <c r="N109" s="50"/>
    </row>
    <row r="110" spans="3:14" x14ac:dyDescent="0.3">
      <c r="C110" s="74" t="s">
        <v>23</v>
      </c>
      <c r="D110" s="74"/>
      <c r="E110" s="74"/>
      <c r="F110" s="183"/>
      <c r="G110" s="183"/>
      <c r="H110" s="183"/>
      <c r="I110" s="183"/>
      <c r="J110" s="183"/>
      <c r="K110" s="183"/>
      <c r="L110" s="183"/>
      <c r="M110"/>
      <c r="N110" s="50"/>
    </row>
    <row r="111" spans="3:14" x14ac:dyDescent="0.3">
      <c r="C111" t="s">
        <v>134</v>
      </c>
      <c r="D111"/>
      <c r="E111"/>
      <c r="F111" s="89"/>
      <c r="G111" s="89"/>
      <c r="H111" s="172">
        <f>G113</f>
        <v>4106</v>
      </c>
      <c r="I111" s="172">
        <f t="shared" ref="I111:L111" ca="1" si="67">H113</f>
        <v>3213.0734705767445</v>
      </c>
      <c r="J111" s="172">
        <f t="shared" ca="1" si="67"/>
        <v>4265.7268114232556</v>
      </c>
      <c r="K111" s="172">
        <f t="shared" ca="1" si="67"/>
        <v>3381.2063308961542</v>
      </c>
      <c r="L111" s="172">
        <f t="shared" ca="1" si="67"/>
        <v>4507.3851757867769</v>
      </c>
      <c r="M111"/>
      <c r="N111" s="50"/>
    </row>
    <row r="112" spans="3:14" x14ac:dyDescent="0.3">
      <c r="C112" t="s">
        <v>226</v>
      </c>
      <c r="D112"/>
      <c r="E112"/>
      <c r="F112" s="89"/>
      <c r="G112" s="89"/>
      <c r="H112" s="172">
        <f ca="1">H113-H111</f>
        <v>-892.92652942325549</v>
      </c>
      <c r="I112" s="172">
        <f t="shared" ref="I112:L112" ca="1" si="68">I113-I111</f>
        <v>1052.6533408465111</v>
      </c>
      <c r="J112" s="172">
        <f t="shared" ca="1" si="68"/>
        <v>-884.52048052710143</v>
      </c>
      <c r="K112" s="172">
        <f t="shared" ca="1" si="68"/>
        <v>1126.1788448906227</v>
      </c>
      <c r="L112" s="172">
        <f t="shared" ca="1" si="68"/>
        <v>-828.85562956739523</v>
      </c>
      <c r="M112"/>
      <c r="N112" s="50"/>
    </row>
    <row r="113" spans="3:14" x14ac:dyDescent="0.3">
      <c r="C113" t="s">
        <v>103</v>
      </c>
      <c r="D113"/>
      <c r="E113"/>
      <c r="F113" s="106">
        <f>F48</f>
        <v>3956</v>
      </c>
      <c r="G113" s="106">
        <f t="shared" ref="G113" si="69">G48</f>
        <v>4106</v>
      </c>
      <c r="H113" s="185">
        <f ca="1">IF($H$115=1,-2*H117*H19-H111,-H19/H118*2-H111)</f>
        <v>3213.0734705767445</v>
      </c>
      <c r="I113" s="185">
        <f ca="1">IF($H$115=1,-2*I117*I19-I111,-I19/I118*2-I111)</f>
        <v>4265.7268114232556</v>
      </c>
      <c r="J113" s="185">
        <f ca="1">IF($H$115=1,-2*J117*J19-J111,-J19/J118*2-J111)</f>
        <v>3381.2063308961542</v>
      </c>
      <c r="K113" s="185">
        <f ca="1">IF($H$115=1,-2*K117*K19-K111,-K19/K118*2-K111)</f>
        <v>4507.3851757867769</v>
      </c>
      <c r="L113" s="185">
        <f ca="1">IF($H$115=1,-2*L117*L19-L111,-L19/L118*2-L111)</f>
        <v>3678.5295462193817</v>
      </c>
      <c r="M113"/>
      <c r="N113" s="50"/>
    </row>
    <row r="114" spans="3:14" x14ac:dyDescent="0.3">
      <c r="D114"/>
      <c r="E114"/>
      <c r="F114" s="89"/>
      <c r="G114" s="89" t="s">
        <v>93</v>
      </c>
      <c r="H114" s="89"/>
      <c r="I114" s="89"/>
      <c r="J114" s="89"/>
      <c r="K114" s="89"/>
      <c r="L114" s="89"/>
      <c r="M114"/>
      <c r="N114" s="50"/>
    </row>
    <row r="115" spans="3:14" x14ac:dyDescent="0.3">
      <c r="C115" t="s">
        <v>231</v>
      </c>
      <c r="D115"/>
      <c r="E115"/>
      <c r="F115" s="89"/>
      <c r="G115" s="89"/>
      <c r="H115" s="174">
        <v>2</v>
      </c>
      <c r="J115" s="89"/>
      <c r="K115" s="89"/>
      <c r="L115" s="89"/>
      <c r="M115"/>
      <c r="N115" s="50"/>
    </row>
    <row r="116" spans="3:14" x14ac:dyDescent="0.3">
      <c r="D116"/>
      <c r="E116"/>
      <c r="F116" s="89"/>
      <c r="G116" s="89"/>
      <c r="H116" s="89"/>
      <c r="I116" s="89"/>
      <c r="J116" s="89"/>
      <c r="K116" s="89"/>
      <c r="L116" s="89"/>
      <c r="M116"/>
      <c r="N116" s="50"/>
    </row>
    <row r="117" spans="3:14" x14ac:dyDescent="0.3">
      <c r="C117" t="s">
        <v>232</v>
      </c>
      <c r="D117"/>
      <c r="E117"/>
      <c r="F117" s="89"/>
      <c r="G117" s="189">
        <f>-(AVERAGE(F113:G113)/G19)</f>
        <v>2.4916245317773301E-2</v>
      </c>
      <c r="H117" s="190">
        <f>G117</f>
        <v>2.4916245317773301E-2</v>
      </c>
      <c r="I117" s="190">
        <f t="shared" ref="I117:L117" si="70">H117</f>
        <v>2.4916245317773301E-2</v>
      </c>
      <c r="J117" s="190">
        <f t="shared" si="70"/>
        <v>2.4916245317773301E-2</v>
      </c>
      <c r="K117" s="190">
        <f t="shared" si="70"/>
        <v>2.4916245317773301E-2</v>
      </c>
      <c r="L117" s="190">
        <f t="shared" si="70"/>
        <v>2.4916245317773301E-2</v>
      </c>
      <c r="M117"/>
      <c r="N117" s="50"/>
    </row>
    <row r="118" spans="3:14" x14ac:dyDescent="0.3">
      <c r="C118" t="s">
        <v>233</v>
      </c>
      <c r="D118"/>
      <c r="E118"/>
      <c r="F118" s="89"/>
      <c r="G118" s="191">
        <f>-G19/AVERAGE(F113:G113)</f>
        <v>40.134457950880673</v>
      </c>
      <c r="H118" s="192">
        <v>43</v>
      </c>
      <c r="I118" s="192">
        <v>44</v>
      </c>
      <c r="J118" s="192">
        <v>45</v>
      </c>
      <c r="K118" s="192">
        <v>46</v>
      </c>
      <c r="L118" s="192">
        <v>47</v>
      </c>
      <c r="M118"/>
      <c r="N118" s="50"/>
    </row>
    <row r="119" spans="3:14" x14ac:dyDescent="0.3">
      <c r="D119"/>
      <c r="E119"/>
      <c r="F119" s="89"/>
      <c r="G119" s="89"/>
      <c r="H119" s="89"/>
      <c r="I119" s="89"/>
      <c r="J119" s="89"/>
      <c r="K119" s="89"/>
      <c r="L119" s="89"/>
      <c r="M119"/>
      <c r="N119" s="50"/>
    </row>
    <row r="120" spans="3:14" x14ac:dyDescent="0.3">
      <c r="C120" s="74" t="s">
        <v>234</v>
      </c>
      <c r="D120" s="74"/>
      <c r="E120" s="74"/>
      <c r="F120" s="183"/>
      <c r="G120" s="183"/>
      <c r="H120" s="183"/>
      <c r="I120" s="183"/>
      <c r="J120" s="183"/>
      <c r="K120" s="183"/>
      <c r="L120" s="183"/>
      <c r="M120"/>
      <c r="N120" s="50"/>
    </row>
    <row r="121" spans="3:14" x14ac:dyDescent="0.3">
      <c r="C121" s="89" t="s">
        <v>235</v>
      </c>
      <c r="D121" s="89"/>
      <c r="E121" s="89"/>
      <c r="F121" s="89"/>
      <c r="G121" s="176">
        <f>365*AVERAGE(F47:G47)/G18</f>
        <v>32.345430365832094</v>
      </c>
      <c r="H121" s="176">
        <f t="shared" ref="H121:L121" ca="1" si="71">365*AVERAGE(G47:H47)/H18</f>
        <v>34</v>
      </c>
      <c r="I121" s="176">
        <f t="shared" ca="1" si="71"/>
        <v>34</v>
      </c>
      <c r="J121" s="176">
        <f t="shared" ca="1" si="71"/>
        <v>34</v>
      </c>
      <c r="K121" s="176">
        <f t="shared" ca="1" si="71"/>
        <v>34</v>
      </c>
      <c r="L121" s="176">
        <f t="shared" ca="1" si="71"/>
        <v>34</v>
      </c>
      <c r="M121"/>
      <c r="N121" s="50"/>
    </row>
    <row r="122" spans="3:14" x14ac:dyDescent="0.3">
      <c r="C122" s="89" t="s">
        <v>236</v>
      </c>
      <c r="D122" s="89"/>
      <c r="E122" s="89"/>
      <c r="F122" s="89"/>
      <c r="G122" s="176">
        <f>G121+365*AVERAGE(F49:G49)/G18</f>
        <v>66.497103861262076</v>
      </c>
      <c r="H122" s="176">
        <f t="shared" ref="H122:L122" ca="1" si="72">H121+365*AVERAGE(G49:H49)/H18</f>
        <v>66.551382464230898</v>
      </c>
      <c r="I122" s="176">
        <f t="shared" ca="1" si="72"/>
        <v>65.346688779146803</v>
      </c>
      <c r="J122" s="176">
        <f t="shared" ca="1" si="72"/>
        <v>65.344587148340196</v>
      </c>
      <c r="K122" s="176">
        <f t="shared" ca="1" si="72"/>
        <v>65.265925053779185</v>
      </c>
      <c r="L122" s="176">
        <f t="shared" ca="1" si="72"/>
        <v>65.183791498664391</v>
      </c>
      <c r="M122"/>
      <c r="N122" s="50"/>
    </row>
    <row r="123" spans="3:14" x14ac:dyDescent="0.3">
      <c r="C123" t="s">
        <v>237</v>
      </c>
      <c r="D123"/>
      <c r="E123"/>
      <c r="F123" s="89"/>
      <c r="G123" s="176">
        <f>-365*AVERAGE(F48:G48)/G19</f>
        <v>9.0944295409872549</v>
      </c>
      <c r="H123" s="176">
        <f t="shared" ref="H123:L123" ca="1" si="73">-365*AVERAGE(G48:H48)/H19</f>
        <v>8.4883720930232549</v>
      </c>
      <c r="I123" s="176">
        <f t="shared" ca="1" si="73"/>
        <v>8.295454545454545</v>
      </c>
      <c r="J123" s="176">
        <f t="shared" ca="1" si="73"/>
        <v>8.1111111111111107</v>
      </c>
      <c r="K123" s="176">
        <f t="shared" ca="1" si="73"/>
        <v>7.9347826086956523</v>
      </c>
      <c r="L123" s="176">
        <f t="shared" ca="1" si="73"/>
        <v>7.7659574468085104</v>
      </c>
      <c r="M123"/>
      <c r="N123" s="50"/>
    </row>
    <row r="124" spans="3:14" x14ac:dyDescent="0.3">
      <c r="C124" s="22" t="s">
        <v>238</v>
      </c>
      <c r="D124" s="22"/>
      <c r="E124" s="22"/>
      <c r="F124" s="89"/>
      <c r="G124" s="194">
        <f>SUM(G122:G123)</f>
        <v>75.591533402249325</v>
      </c>
      <c r="H124" s="194">
        <f t="shared" ref="H124:L124" ca="1" si="74">SUM(H122:H123)</f>
        <v>75.039754557254156</v>
      </c>
      <c r="I124" s="194">
        <f t="shared" ca="1" si="74"/>
        <v>73.642143324601349</v>
      </c>
      <c r="J124" s="194">
        <f t="shared" ca="1" si="74"/>
        <v>73.45569825945131</v>
      </c>
      <c r="K124" s="194">
        <f t="shared" ca="1" si="74"/>
        <v>73.200707662474841</v>
      </c>
      <c r="L124" s="194">
        <f t="shared" ca="1" si="74"/>
        <v>72.949748945472905</v>
      </c>
      <c r="M124"/>
      <c r="N124" s="50"/>
    </row>
    <row r="125" spans="3:14" x14ac:dyDescent="0.3">
      <c r="D125"/>
      <c r="E125"/>
      <c r="F125" s="89"/>
      <c r="G125" s="89"/>
      <c r="H125" s="89"/>
      <c r="I125" s="89"/>
      <c r="J125" s="89"/>
      <c r="K125" s="89"/>
      <c r="L125" s="89"/>
      <c r="M125"/>
      <c r="N125" s="50"/>
    </row>
    <row r="126" spans="3:14" x14ac:dyDescent="0.3">
      <c r="C126" t="s">
        <v>239</v>
      </c>
      <c r="D126"/>
      <c r="E126"/>
      <c r="F126" s="89"/>
      <c r="G126" s="175">
        <f>-365*AVERAGE(F55:G55)/G19</f>
        <v>115.20212384566886</v>
      </c>
      <c r="H126" s="175">
        <f t="shared" ref="H126:L126" ca="1" si="75">-365*AVERAGE(G55:H55)/H19</f>
        <v>105.77972360527126</v>
      </c>
      <c r="I126" s="175">
        <f t="shared" ca="1" si="75"/>
        <v>102.04007403989192</v>
      </c>
      <c r="J126" s="175">
        <f t="shared" ca="1" si="75"/>
        <v>102.03374051714978</v>
      </c>
      <c r="K126" s="175">
        <f t="shared" ca="1" si="75"/>
        <v>101.61718874518307</v>
      </c>
      <c r="L126" s="175">
        <f t="shared" ca="1" si="75"/>
        <v>101.35024698804466</v>
      </c>
      <c r="M126"/>
      <c r="N126" s="50"/>
    </row>
    <row r="127" spans="3:14" x14ac:dyDescent="0.3">
      <c r="C127" s="22" t="s">
        <v>240</v>
      </c>
      <c r="D127" s="22"/>
      <c r="E127" s="22"/>
      <c r="F127" s="89"/>
      <c r="G127" s="195">
        <f>G124-G126</f>
        <v>-39.610590443419539</v>
      </c>
      <c r="H127" s="195">
        <f t="shared" ref="H127:L127" ca="1" si="76">H124-H126</f>
        <v>-30.739969048017102</v>
      </c>
      <c r="I127" s="195">
        <f t="shared" ca="1" si="76"/>
        <v>-28.39793071529057</v>
      </c>
      <c r="J127" s="195">
        <f t="shared" ca="1" si="76"/>
        <v>-28.578042257698471</v>
      </c>
      <c r="K127" s="195">
        <f t="shared" ca="1" si="76"/>
        <v>-28.416481082708231</v>
      </c>
      <c r="L127" s="195">
        <f t="shared" ca="1" si="76"/>
        <v>-28.400498042571755</v>
      </c>
      <c r="M127"/>
      <c r="N127" s="50"/>
    </row>
    <row r="128" spans="3:14" x14ac:dyDescent="0.3">
      <c r="D128"/>
      <c r="E128"/>
      <c r="F128" s="89"/>
      <c r="G128" s="89"/>
      <c r="H128"/>
      <c r="I128"/>
      <c r="J128"/>
      <c r="K128"/>
      <c r="L128"/>
      <c r="M128"/>
      <c r="N128" s="50"/>
    </row>
    <row r="129" spans="2:16" x14ac:dyDescent="0.3">
      <c r="C129" t="s">
        <v>241</v>
      </c>
      <c r="D129"/>
      <c r="E129"/>
      <c r="F129" s="89"/>
      <c r="G129" s="197">
        <f>G136/G137</f>
        <v>1.540125617208044</v>
      </c>
      <c r="H129" s="197">
        <f t="shared" ref="H129:L129" ca="1" si="77">H136/H137</f>
        <v>1.4845658491438378</v>
      </c>
      <c r="I129" s="197">
        <f t="shared" ca="1" si="77"/>
        <v>1.4639043882396858</v>
      </c>
      <c r="J129" s="197">
        <f t="shared" ca="1" si="77"/>
        <v>1.4296057466755463</v>
      </c>
      <c r="K129" s="197">
        <f t="shared" ca="1" si="77"/>
        <v>1.406574997705778</v>
      </c>
      <c r="L129" s="197">
        <f t="shared" ca="1" si="77"/>
        <v>1.3670678263781049</v>
      </c>
      <c r="M129"/>
      <c r="N129" s="50"/>
    </row>
    <row r="130" spans="2:16" x14ac:dyDescent="0.3">
      <c r="C130" t="s">
        <v>242</v>
      </c>
      <c r="D130"/>
      <c r="E130"/>
      <c r="F130" s="89"/>
      <c r="G130" s="89"/>
      <c r="H130"/>
      <c r="I130"/>
      <c r="J130"/>
      <c r="K130"/>
      <c r="L130"/>
      <c r="M130"/>
      <c r="N130" s="50"/>
    </row>
    <row r="131" spans="2:16" x14ac:dyDescent="0.3">
      <c r="D131"/>
      <c r="E131"/>
      <c r="F131" s="89"/>
      <c r="G131" s="89"/>
      <c r="H131"/>
      <c r="I131"/>
      <c r="J131"/>
      <c r="K131"/>
      <c r="L131"/>
      <c r="M131"/>
      <c r="N131" s="50"/>
    </row>
    <row r="132" spans="2:16" x14ac:dyDescent="0.3">
      <c r="C132" s="21" t="s">
        <v>243</v>
      </c>
      <c r="D132" s="21"/>
      <c r="E132" s="21"/>
      <c r="F132" s="89"/>
      <c r="G132" s="89"/>
      <c r="H132"/>
      <c r="I132"/>
      <c r="J132"/>
      <c r="K132"/>
      <c r="L132"/>
      <c r="M132"/>
      <c r="N132" s="50"/>
    </row>
    <row r="133" spans="2:16" x14ac:dyDescent="0.3">
      <c r="C133" t="s">
        <v>244</v>
      </c>
      <c r="D133"/>
      <c r="E133" s="193">
        <v>194714</v>
      </c>
      <c r="F133" s="193">
        <v>170799</v>
      </c>
      <c r="G133" s="193">
        <v>105341</v>
      </c>
      <c r="H133" s="5">
        <f ca="1">G133+H92</f>
        <v>79988.754469321255</v>
      </c>
      <c r="I133" s="5">
        <f t="shared" ref="I133:L133" ca="1" si="78">H133+I92</f>
        <v>55490.731411169865</v>
      </c>
      <c r="J133" s="5">
        <f t="shared" ca="1" si="78"/>
        <v>36462.656111796445</v>
      </c>
      <c r="K133" s="5">
        <f t="shared" ca="1" si="78"/>
        <v>19805.414102811934</v>
      </c>
      <c r="L133" s="5">
        <f t="shared" ca="1" si="78"/>
        <v>9923.4132263126667</v>
      </c>
      <c r="M133"/>
      <c r="N133" s="50"/>
    </row>
    <row r="134" spans="2:16" x14ac:dyDescent="0.3">
      <c r="C134" t="s">
        <v>245</v>
      </c>
      <c r="D134"/>
      <c r="E134" s="193">
        <v>2836</v>
      </c>
      <c r="F134" s="193">
        <v>2797</v>
      </c>
      <c r="G134" s="193">
        <v>0</v>
      </c>
      <c r="H134" s="5">
        <f ca="1">G134*(1+H37)</f>
        <v>0</v>
      </c>
      <c r="I134" s="5">
        <f t="shared" ref="I134:L134" ca="1" si="79">H134*(1+I37)</f>
        <v>0</v>
      </c>
      <c r="J134" s="5">
        <f t="shared" ca="1" si="79"/>
        <v>0</v>
      </c>
      <c r="K134" s="5">
        <f t="shared" ca="1" si="79"/>
        <v>0</v>
      </c>
      <c r="L134" s="5">
        <f t="shared" ca="1" si="79"/>
        <v>0</v>
      </c>
      <c r="M134"/>
      <c r="N134" s="50"/>
    </row>
    <row r="135" spans="2:16" x14ac:dyDescent="0.3">
      <c r="C135" t="s">
        <v>246</v>
      </c>
      <c r="D135"/>
      <c r="E135" s="193">
        <v>97207</v>
      </c>
      <c r="F135" s="193">
        <v>93735</v>
      </c>
      <c r="G135" s="193">
        <v>91807</v>
      </c>
      <c r="H135" s="196">
        <f>G135</f>
        <v>91807</v>
      </c>
      <c r="I135" s="196">
        <f t="shared" ref="I135:L135" si="80">H135</f>
        <v>91807</v>
      </c>
      <c r="J135" s="196">
        <f t="shared" si="80"/>
        <v>91807</v>
      </c>
      <c r="K135" s="196">
        <f t="shared" si="80"/>
        <v>91807</v>
      </c>
      <c r="L135" s="196">
        <f t="shared" si="80"/>
        <v>91807</v>
      </c>
      <c r="M135"/>
      <c r="N135" s="50"/>
    </row>
    <row r="136" spans="2:16" x14ac:dyDescent="0.3">
      <c r="C136" t="s">
        <v>247</v>
      </c>
      <c r="D136"/>
      <c r="E136" s="89">
        <f t="shared" ref="E136:F136" si="81">SUM(E46:E50)-E133</f>
        <v>128645</v>
      </c>
      <c r="F136" s="89">
        <f>SUM(F46:F50)-F133</f>
        <v>131339</v>
      </c>
      <c r="G136" s="89">
        <f>SUM(G46:G50)-G133</f>
        <v>162819</v>
      </c>
      <c r="H136" s="89">
        <f t="shared" ref="G136:H136" ca="1" si="82">SUM(H46:H50)-H133</f>
        <v>162233.83101525565</v>
      </c>
      <c r="I136" s="89">
        <f t="shared" ref="I136:L136" ca="1" si="83">SUM(I46:I50)-I133</f>
        <v>165990.81771686437</v>
      </c>
      <c r="J136" s="89">
        <f t="shared" ca="1" si="83"/>
        <v>168271.39042206906</v>
      </c>
      <c r="K136" s="89">
        <f t="shared" ca="1" si="83"/>
        <v>172880.75368359144</v>
      </c>
      <c r="L136" s="89">
        <f t="shared" ca="1" si="83"/>
        <v>176314.83652657038</v>
      </c>
      <c r="M136"/>
      <c r="N136" s="50"/>
    </row>
    <row r="137" spans="2:16" x14ac:dyDescent="0.3">
      <c r="C137" t="s">
        <v>248</v>
      </c>
      <c r="D137"/>
      <c r="E137" s="89">
        <f t="shared" ref="E137:F137" si="84">SUM(E55:E59)-E135-E134</f>
        <v>100814</v>
      </c>
      <c r="F137" s="89">
        <f>SUM(F55:F59)-F135-F134</f>
        <v>116866</v>
      </c>
      <c r="G137" s="89">
        <f>SUM(G55:G59)-G135-G134</f>
        <v>105718</v>
      </c>
      <c r="H137" s="89">
        <f t="shared" ref="G137:H137" ca="1" si="85">SUM(H55:H59)-H135-H134</f>
        <v>109280.31997288455</v>
      </c>
      <c r="I137" s="89">
        <f t="shared" ref="I137:L137" ca="1" si="86">SUM(I55:I59)-I135-I134</f>
        <v>113389.11137254315</v>
      </c>
      <c r="J137" s="89">
        <f t="shared" ca="1" si="86"/>
        <v>117704.75238601485</v>
      </c>
      <c r="K137" s="89">
        <f t="shared" ca="1" si="86"/>
        <v>122909.01940214494</v>
      </c>
      <c r="L137" s="89">
        <f t="shared" ca="1" si="86"/>
        <v>128972.99835787743</v>
      </c>
      <c r="M137"/>
      <c r="N137" s="50"/>
    </row>
    <row r="138" spans="2:16" x14ac:dyDescent="0.3">
      <c r="C138" s="22"/>
      <c r="D138" s="22"/>
      <c r="E138"/>
      <c r="F138"/>
      <c r="G138"/>
      <c r="H138" s="50"/>
      <c r="I138" s="50"/>
      <c r="J138" s="50"/>
      <c r="K138" s="50"/>
      <c r="L138" s="50"/>
      <c r="M138" s="50"/>
      <c r="N138" s="50"/>
    </row>
    <row r="139" spans="2:16" ht="15" thickBot="1" x14ac:dyDescent="0.35">
      <c r="B139" t="s">
        <v>82</v>
      </c>
      <c r="C139" s="57" t="s">
        <v>99</v>
      </c>
      <c r="D139" s="57"/>
      <c r="E139" s="59"/>
      <c r="F139" s="59"/>
      <c r="G139" s="59"/>
      <c r="H139" s="59"/>
      <c r="I139" s="59"/>
      <c r="J139" s="59"/>
      <c r="K139" s="59"/>
      <c r="L139" s="59"/>
      <c r="M139" s="46"/>
      <c r="N139" s="46"/>
    </row>
    <row r="140" spans="2:16" x14ac:dyDescent="0.3">
      <c r="C140" t="s">
        <v>69</v>
      </c>
      <c r="D140"/>
      <c r="E140" s="34">
        <f>F140-1</f>
        <v>2017</v>
      </c>
      <c r="F140" s="34">
        <f>G140-1</f>
        <v>2018</v>
      </c>
      <c r="G140" s="34">
        <f>YEAR($D$10)</f>
        <v>2019</v>
      </c>
      <c r="H140" s="33">
        <f>G140+1</f>
        <v>2020</v>
      </c>
      <c r="I140" s="33">
        <f>H140+1</f>
        <v>2021</v>
      </c>
      <c r="J140" s="33">
        <f>I140+1</f>
        <v>2022</v>
      </c>
      <c r="K140" s="33">
        <f>J140+1</f>
        <v>2023</v>
      </c>
      <c r="L140" s="33">
        <f>K140+1</f>
        <v>2024</v>
      </c>
      <c r="M140" s="33"/>
      <c r="N140" s="33"/>
    </row>
    <row r="141" spans="2:16" x14ac:dyDescent="0.3">
      <c r="C141" s="32" t="s">
        <v>68</v>
      </c>
      <c r="D141" s="211"/>
      <c r="E141" s="31">
        <f>EOMONTH(F141,-12)</f>
        <v>43008</v>
      </c>
      <c r="F141" s="31">
        <f t="shared" ref="F141" si="87">EOMONTH(G141,-12)</f>
        <v>43373</v>
      </c>
      <c r="G141" s="31">
        <f>$D$10</f>
        <v>43737</v>
      </c>
      <c r="H141" s="31">
        <f>EOMONTH(G141,12)</f>
        <v>44104</v>
      </c>
      <c r="I141" s="31">
        <f>EOMONTH(H141,12)</f>
        <v>44469</v>
      </c>
      <c r="J141" s="31">
        <f>EOMONTH(I141,12)</f>
        <v>44834</v>
      </c>
      <c r="K141" s="31">
        <f>EOMONTH(J141,12)</f>
        <v>45199</v>
      </c>
      <c r="L141" s="31">
        <f>EOMONTH(K141,12)</f>
        <v>45565</v>
      </c>
      <c r="M141" s="155"/>
      <c r="N141" s="155"/>
    </row>
    <row r="142" spans="2:16" x14ac:dyDescent="0.3">
      <c r="D142"/>
      <c r="E142"/>
      <c r="F142"/>
      <c r="G142"/>
      <c r="H142"/>
      <c r="I142"/>
      <c r="J142"/>
      <c r="K142"/>
      <c r="L142"/>
      <c r="M142"/>
    </row>
    <row r="143" spans="2:16" x14ac:dyDescent="0.3">
      <c r="C143" t="s">
        <v>100</v>
      </c>
      <c r="D143"/>
      <c r="H143" s="5">
        <f>G146</f>
        <v>37378</v>
      </c>
      <c r="I143" s="5">
        <f t="shared" ref="I143:L143" si="88">H146</f>
        <v>42967.142857142855</v>
      </c>
      <c r="J143" s="5">
        <f t="shared" si="88"/>
        <v>48627</v>
      </c>
      <c r="K143" s="5">
        <f t="shared" si="88"/>
        <v>53665.979591836731</v>
      </c>
      <c r="L143" s="5">
        <f t="shared" ca="1" si="88"/>
        <v>58221.864275693224</v>
      </c>
      <c r="N143" s="5"/>
      <c r="P143" t="s">
        <v>94</v>
      </c>
    </row>
    <row r="144" spans="2:16" x14ac:dyDescent="0.3">
      <c r="C144" t="s">
        <v>101</v>
      </c>
      <c r="D144"/>
      <c r="E144" s="54">
        <v>12451</v>
      </c>
      <c r="F144" s="54">
        <v>13313</v>
      </c>
      <c r="G144" s="54">
        <v>10495</v>
      </c>
      <c r="H144" s="54">
        <v>13285</v>
      </c>
      <c r="I144" s="54">
        <v>13649</v>
      </c>
      <c r="J144" s="54">
        <v>13819</v>
      </c>
      <c r="K144" s="5">
        <f ca="1">J144*(1+K37)</f>
        <v>14572.50151892101</v>
      </c>
      <c r="L144" s="5">
        <f ca="1">K144*(1+L37)</f>
        <v>15450.476714983708</v>
      </c>
      <c r="N144" s="5"/>
      <c r="P144" t="s">
        <v>95</v>
      </c>
    </row>
    <row r="145" spans="3:18" x14ac:dyDescent="0.3">
      <c r="C145" s="69" t="s">
        <v>102</v>
      </c>
      <c r="D145" s="69"/>
      <c r="E145" s="72">
        <v>-8200</v>
      </c>
      <c r="F145" s="72">
        <v>-9300</v>
      </c>
      <c r="G145" s="72">
        <v>-11300</v>
      </c>
      <c r="H145" s="207">
        <f>-H166</f>
        <v>-7695.8571428571431</v>
      </c>
      <c r="I145" s="207">
        <f t="shared" ref="I145:L145" si="89">-I166</f>
        <v>-7989.1428571428578</v>
      </c>
      <c r="J145" s="207">
        <f t="shared" si="89"/>
        <v>-8780.0204081632655</v>
      </c>
      <c r="K145" s="207">
        <f t="shared" ca="1" si="89"/>
        <v>-10016.616835064517</v>
      </c>
      <c r="L145" s="207">
        <f t="shared" ca="1" si="89"/>
        <v>-11620.121005509918</v>
      </c>
      <c r="M145" s="60"/>
      <c r="N145" s="60"/>
      <c r="P145" t="s">
        <v>267</v>
      </c>
    </row>
    <row r="146" spans="3:18" x14ac:dyDescent="0.3">
      <c r="C146" s="22" t="s">
        <v>103</v>
      </c>
      <c r="D146" s="22"/>
      <c r="E146" s="50">
        <f t="shared" ref="E146:F146" si="90">E51</f>
        <v>33783</v>
      </c>
      <c r="F146" s="50">
        <f>F51</f>
        <v>41304</v>
      </c>
      <c r="G146" s="50">
        <f>G51</f>
        <v>37378</v>
      </c>
      <c r="H146" s="50">
        <f>SUM(H143:H145)</f>
        <v>42967.142857142855</v>
      </c>
      <c r="I146" s="50">
        <f t="shared" ref="I146:L146" si="91">SUM(I143:I145)</f>
        <v>48627</v>
      </c>
      <c r="J146" s="50">
        <f t="shared" si="91"/>
        <v>53665.979591836731</v>
      </c>
      <c r="K146" s="50">
        <f t="shared" ca="1" si="91"/>
        <v>58221.864275693224</v>
      </c>
      <c r="L146" s="50">
        <f t="shared" ca="1" si="91"/>
        <v>62052.219985167016</v>
      </c>
      <c r="M146" s="50"/>
      <c r="N146" s="50"/>
      <c r="P146" t="s">
        <v>96</v>
      </c>
    </row>
    <row r="147" spans="3:18" x14ac:dyDescent="0.3">
      <c r="D147"/>
      <c r="N147" s="5"/>
      <c r="P147" s="21" t="s">
        <v>97</v>
      </c>
    </row>
    <row r="148" spans="3:18" x14ac:dyDescent="0.3">
      <c r="C148" t="s">
        <v>98</v>
      </c>
      <c r="D148"/>
      <c r="E148" s="55">
        <f>-E145/E144</f>
        <v>0.6585816400289134</v>
      </c>
      <c r="F148" s="55">
        <f t="shared" ref="F148:G148" si="92">-F145/F144</f>
        <v>0.69856531210095396</v>
      </c>
      <c r="G148" s="55">
        <f t="shared" si="92"/>
        <v>1.0767031919961887</v>
      </c>
      <c r="H148" s="55">
        <f>G148+$P$148</f>
        <v>1.0967031919961887</v>
      </c>
      <c r="I148" s="55">
        <f t="shared" ref="I148:L148" si="93">H148+$P$148</f>
        <v>1.1167031919961887</v>
      </c>
      <c r="J148" s="55">
        <f t="shared" si="93"/>
        <v>1.1367031919961887</v>
      </c>
      <c r="K148" s="55">
        <f t="shared" si="93"/>
        <v>1.1567031919961888</v>
      </c>
      <c r="L148" s="55">
        <f t="shared" si="93"/>
        <v>1.1767031919961888</v>
      </c>
      <c r="M148" s="55"/>
      <c r="N148" s="55"/>
      <c r="P148" s="56">
        <v>0.02</v>
      </c>
    </row>
    <row r="149" spans="3:18" x14ac:dyDescent="0.3">
      <c r="D149"/>
      <c r="E149" s="55"/>
      <c r="F149" s="55"/>
      <c r="G149" s="55"/>
      <c r="H149" s="55"/>
      <c r="I149" s="55"/>
      <c r="J149" s="55"/>
      <c r="K149" s="55"/>
      <c r="L149" s="55"/>
      <c r="M149" s="55"/>
      <c r="N149" s="55"/>
      <c r="P149" s="198"/>
    </row>
    <row r="150" spans="3:18" x14ac:dyDescent="0.3">
      <c r="C150" s="30" t="s">
        <v>252</v>
      </c>
      <c r="D150" s="30"/>
      <c r="E150" s="29"/>
      <c r="F150" s="199"/>
      <c r="G150" s="199"/>
      <c r="H150" s="199"/>
      <c r="I150" s="200"/>
      <c r="J150" s="200"/>
      <c r="K150" s="200"/>
      <c r="L150" s="200"/>
      <c r="M150" s="200"/>
      <c r="N150" s="55"/>
      <c r="P150" s="198"/>
    </row>
    <row r="151" spans="3:18" x14ac:dyDescent="0.3">
      <c r="C151" t="s">
        <v>253</v>
      </c>
      <c r="D151"/>
      <c r="E151"/>
      <c r="F151" s="98"/>
      <c r="G151" s="98"/>
      <c r="H151" s="98"/>
      <c r="I151" s="201"/>
      <c r="J151" s="201"/>
      <c r="K151" s="201"/>
      <c r="L151" s="201"/>
      <c r="M151" s="201"/>
      <c r="N151" s="55"/>
      <c r="P151" s="198"/>
    </row>
    <row r="152" spans="3:18" x14ac:dyDescent="0.3">
      <c r="C152" t="s">
        <v>254</v>
      </c>
      <c r="D152"/>
      <c r="E152" s="98"/>
      <c r="F152" s="141">
        <v>90403</v>
      </c>
      <c r="G152" s="141">
        <v>95957</v>
      </c>
      <c r="H152" t="s">
        <v>268</v>
      </c>
      <c r="I152" s="201"/>
      <c r="J152" s="201"/>
      <c r="K152" s="201"/>
      <c r="M152" s="201"/>
      <c r="N152" s="55"/>
      <c r="P152" s="198"/>
    </row>
    <row r="153" spans="3:18" x14ac:dyDescent="0.3">
      <c r="C153" t="s">
        <v>255</v>
      </c>
      <c r="D153"/>
      <c r="E153" s="98"/>
      <c r="F153" s="141">
        <v>16216</v>
      </c>
      <c r="G153" s="141">
        <v>17085</v>
      </c>
      <c r="H153" t="s">
        <v>268</v>
      </c>
      <c r="I153" s="201"/>
      <c r="J153" s="201"/>
      <c r="K153" s="201"/>
      <c r="M153" s="201"/>
      <c r="N153" s="55"/>
      <c r="P153" s="198"/>
    </row>
    <row r="154" spans="3:18" x14ac:dyDescent="0.3">
      <c r="C154" t="s">
        <v>256</v>
      </c>
      <c r="D154"/>
      <c r="E154" s="98"/>
      <c r="F154" s="131">
        <f>-(F152-F153-F155)</f>
        <v>-49099</v>
      </c>
      <c r="G154" s="131">
        <f>-(G152-G153-G155)</f>
        <v>-58579</v>
      </c>
      <c r="H154" s="201"/>
      <c r="I154" s="201"/>
      <c r="J154" s="201"/>
      <c r="K154" s="201"/>
      <c r="M154" s="201"/>
      <c r="N154" s="55"/>
      <c r="P154" s="198"/>
    </row>
    <row r="155" spans="3:18" x14ac:dyDescent="0.3">
      <c r="C155" t="s">
        <v>257</v>
      </c>
      <c r="D155"/>
      <c r="E155" s="98"/>
      <c r="F155" s="131">
        <f>F51-F153</f>
        <v>25088</v>
      </c>
      <c r="G155" s="131">
        <f>G51-G153</f>
        <v>20293</v>
      </c>
      <c r="H155" s="201"/>
      <c r="I155" s="201"/>
      <c r="J155" s="201"/>
      <c r="K155" s="201"/>
      <c r="M155" s="201"/>
      <c r="N155" s="55"/>
      <c r="P155" s="198"/>
    </row>
    <row r="156" spans="3:18" x14ac:dyDescent="0.3">
      <c r="D156"/>
      <c r="E156" s="98"/>
      <c r="F156" s="98"/>
      <c r="G156" s="98"/>
      <c r="H156" s="201"/>
      <c r="I156" s="201"/>
      <c r="J156" s="201"/>
      <c r="K156" s="201"/>
      <c r="M156" s="201"/>
      <c r="N156" s="55"/>
      <c r="P156" s="198"/>
    </row>
    <row r="157" spans="3:18" x14ac:dyDescent="0.3">
      <c r="C157" t="s">
        <v>258</v>
      </c>
      <c r="D157"/>
      <c r="E157" s="134">
        <f>IF(E158,E158,-ROUND((G152-G153)/G145,0))</f>
        <v>7</v>
      </c>
      <c r="F157" s="98"/>
      <c r="G157" s="98"/>
      <c r="H157" s="201"/>
      <c r="I157" s="201"/>
      <c r="J157" s="201"/>
      <c r="K157" s="201"/>
      <c r="M157" s="201"/>
      <c r="N157" s="55"/>
      <c r="P157" s="198"/>
      <c r="R157" s="22"/>
    </row>
    <row r="158" spans="3:18" x14ac:dyDescent="0.3">
      <c r="C158" t="s">
        <v>259</v>
      </c>
      <c r="D158"/>
      <c r="E158" s="202"/>
      <c r="F158" s="98"/>
      <c r="G158" s="98"/>
      <c r="H158" s="201"/>
      <c r="I158" s="201"/>
      <c r="J158" s="201"/>
      <c r="K158" s="201"/>
      <c r="M158" s="201"/>
      <c r="N158" s="55"/>
      <c r="P158" s="198"/>
    </row>
    <row r="159" spans="3:18" x14ac:dyDescent="0.3">
      <c r="D159"/>
      <c r="E159" s="98"/>
      <c r="F159" s="98"/>
      <c r="G159" s="98"/>
      <c r="H159" s="201"/>
      <c r="I159" s="201"/>
      <c r="J159" s="201"/>
      <c r="K159" s="201"/>
      <c r="M159" s="201"/>
      <c r="N159" s="55"/>
      <c r="P159" s="198"/>
    </row>
    <row r="160" spans="3:18" x14ac:dyDescent="0.3">
      <c r="C160" t="s">
        <v>260</v>
      </c>
      <c r="D160"/>
      <c r="E160" s="98"/>
      <c r="F160" s="208" t="s">
        <v>269</v>
      </c>
      <c r="G160" s="98"/>
      <c r="H160" s="103">
        <f>DDB($G$155,0,$E$157,H140-$G$140)</f>
        <v>5798</v>
      </c>
      <c r="I160" s="103">
        <f t="shared" ref="I160:L160" si="94">DDB($G$155,0,$E$157,I140-$G$140)</f>
        <v>4141.4285714285716</v>
      </c>
      <c r="J160" s="103">
        <f t="shared" si="94"/>
        <v>2958.1632653061224</v>
      </c>
      <c r="K160" s="103">
        <f t="shared" si="94"/>
        <v>2112.9737609329445</v>
      </c>
      <c r="L160" s="103">
        <f t="shared" si="94"/>
        <v>1509.2669720949605</v>
      </c>
      <c r="M160" s="205"/>
      <c r="N160" s="55"/>
      <c r="P160" s="198"/>
    </row>
    <row r="161" spans="2:16" x14ac:dyDescent="0.3">
      <c r="C161" t="s">
        <v>261</v>
      </c>
      <c r="D161"/>
      <c r="E161" s="98"/>
      <c r="F161" s="203">
        <v>1</v>
      </c>
      <c r="G161" s="98"/>
      <c r="H161" s="103">
        <f>$F$161*$H$144/$E$157</f>
        <v>1897.8571428571429</v>
      </c>
      <c r="I161" s="103">
        <f t="shared" ref="I161:L161" si="95">$H$144/$E$157</f>
        <v>1897.8571428571429</v>
      </c>
      <c r="J161" s="103">
        <f t="shared" si="95"/>
        <v>1897.8571428571429</v>
      </c>
      <c r="K161" s="103">
        <f t="shared" si="95"/>
        <v>1897.8571428571429</v>
      </c>
      <c r="L161" s="103">
        <f t="shared" si="95"/>
        <v>1897.8571428571429</v>
      </c>
      <c r="M161" s="205"/>
      <c r="P161" s="198"/>
    </row>
    <row r="162" spans="2:16" x14ac:dyDescent="0.3">
      <c r="C162" t="s">
        <v>262</v>
      </c>
      <c r="D162"/>
      <c r="E162" s="98"/>
      <c r="F162"/>
      <c r="G162" s="98"/>
      <c r="H162" s="103"/>
      <c r="I162" s="103">
        <f>$F$161*$I$144/$E$157</f>
        <v>1949.8571428571429</v>
      </c>
      <c r="J162" s="103">
        <f>$I$144/$E$157</f>
        <v>1949.8571428571429</v>
      </c>
      <c r="K162" s="103">
        <f t="shared" ref="K162:L162" si="96">$I$144/$E$157</f>
        <v>1949.8571428571429</v>
      </c>
      <c r="L162" s="103">
        <f t="shared" si="96"/>
        <v>1949.8571428571429</v>
      </c>
      <c r="M162" s="205"/>
      <c r="N162" s="55"/>
      <c r="P162" s="198"/>
    </row>
    <row r="163" spans="2:16" x14ac:dyDescent="0.3">
      <c r="C163" t="s">
        <v>263</v>
      </c>
      <c r="D163"/>
      <c r="E163" s="98"/>
      <c r="F163" s="98"/>
      <c r="G163" s="98"/>
      <c r="H163" s="103"/>
      <c r="I163" s="103"/>
      <c r="J163" s="103">
        <f>$F$161*$J$144/$E$157</f>
        <v>1974.1428571428571</v>
      </c>
      <c r="K163" s="103">
        <f>$J$144/$E$157</f>
        <v>1974.1428571428571</v>
      </c>
      <c r="L163" s="103">
        <f t="shared" ref="L163" si="97">$J$144/$E$157</f>
        <v>1974.1428571428571</v>
      </c>
      <c r="M163" s="205"/>
      <c r="N163" s="55"/>
      <c r="P163" s="198"/>
    </row>
    <row r="164" spans="2:16" x14ac:dyDescent="0.3">
      <c r="C164" t="s">
        <v>264</v>
      </c>
      <c r="D164"/>
      <c r="E164" s="98"/>
      <c r="F164" s="98"/>
      <c r="G164" s="98"/>
      <c r="H164" s="103"/>
      <c r="I164" s="103"/>
      <c r="J164" s="103"/>
      <c r="K164" s="103">
        <f ca="1">$F$161*$K$144/$E$157</f>
        <v>2081.7859312744299</v>
      </c>
      <c r="L164" s="103">
        <f ca="1">$K$144/$E$157</f>
        <v>2081.7859312744299</v>
      </c>
      <c r="M164" s="205"/>
      <c r="N164" s="55"/>
      <c r="P164" s="198"/>
    </row>
    <row r="165" spans="2:16" x14ac:dyDescent="0.3">
      <c r="C165" t="s">
        <v>265</v>
      </c>
      <c r="D165"/>
      <c r="E165" s="98"/>
      <c r="F165" s="98"/>
      <c r="G165" s="98"/>
      <c r="H165" s="103"/>
      <c r="I165" s="103"/>
      <c r="J165" s="103"/>
      <c r="K165" s="103"/>
      <c r="L165" s="103">
        <f ca="1">$F$161*$L$144/$E$157</f>
        <v>2207.2109592833867</v>
      </c>
      <c r="M165" s="205"/>
      <c r="N165" s="55"/>
      <c r="P165" s="198"/>
    </row>
    <row r="166" spans="2:16" x14ac:dyDescent="0.3">
      <c r="C166" s="22" t="s">
        <v>266</v>
      </c>
      <c r="D166" s="22"/>
      <c r="E166" s="98"/>
      <c r="F166" s="98"/>
      <c r="G166" s="98"/>
      <c r="H166" s="204">
        <f t="shared" ref="H166:K166" si="98">SUM(H160:H165)</f>
        <v>7695.8571428571431</v>
      </c>
      <c r="I166" s="204">
        <f t="shared" si="98"/>
        <v>7989.1428571428578</v>
      </c>
      <c r="J166" s="204">
        <f t="shared" si="98"/>
        <v>8780.0204081632655</v>
      </c>
      <c r="K166" s="204">
        <f t="shared" ca="1" si="98"/>
        <v>10016.616835064517</v>
      </c>
      <c r="L166" s="204">
        <f ca="1">SUM(L160:L165)</f>
        <v>11620.121005509918</v>
      </c>
      <c r="M166" s="206"/>
      <c r="N166" s="55"/>
      <c r="P166" s="198"/>
    </row>
    <row r="167" spans="2:16" x14ac:dyDescent="0.3">
      <c r="D167"/>
      <c r="N167" s="5"/>
    </row>
    <row r="168" spans="2:16" ht="15" thickBot="1" x14ac:dyDescent="0.35">
      <c r="B168" t="s">
        <v>82</v>
      </c>
      <c r="C168" s="57" t="s">
        <v>104</v>
      </c>
      <c r="D168" s="57"/>
      <c r="E168" s="58"/>
      <c r="F168" s="58"/>
      <c r="G168" s="58"/>
      <c r="H168" s="58"/>
      <c r="I168" s="58"/>
      <c r="J168" s="58"/>
      <c r="K168" s="58"/>
      <c r="L168" s="58"/>
      <c r="M168" s="60"/>
      <c r="N168" s="60"/>
    </row>
    <row r="169" spans="2:16" x14ac:dyDescent="0.3">
      <c r="C169" t="s">
        <v>105</v>
      </c>
      <c r="D169"/>
      <c r="E169" s="5">
        <f>E31+E145</f>
        <v>1957</v>
      </c>
      <c r="F169" s="5">
        <f>F31+F145</f>
        <v>1603</v>
      </c>
      <c r="G169" s="5">
        <f>G31+G145</f>
        <v>1247</v>
      </c>
      <c r="H169" s="5">
        <f ca="1">H18*H170</f>
        <v>1212.5697828372552</v>
      </c>
      <c r="I169" s="5">
        <f ca="1">I18*I170</f>
        <v>1271.9366650679929</v>
      </c>
      <c r="J169" s="5">
        <f ca="1">J18*J170</f>
        <v>1334.3934319523412</v>
      </c>
      <c r="K169" s="5">
        <f ca="1">K18*K170</f>
        <v>1407.1532175963318</v>
      </c>
      <c r="L169" s="5">
        <f ca="1">L18*L170</f>
        <v>1491.9324588614834</v>
      </c>
      <c r="N169" s="5"/>
      <c r="P169" t="s">
        <v>108</v>
      </c>
    </row>
    <row r="170" spans="2:16" x14ac:dyDescent="0.3">
      <c r="C170" s="69" t="s">
        <v>106</v>
      </c>
      <c r="D170" s="69"/>
      <c r="E170" s="73">
        <f>E169/E18</f>
        <v>8.537128000209393E-3</v>
      </c>
      <c r="F170" s="73">
        <f>F169/F18</f>
        <v>6.0355051864681188E-3</v>
      </c>
      <c r="G170" s="73">
        <f>G169/G18</f>
        <v>4.7929462590420259E-3</v>
      </c>
      <c r="H170" s="73">
        <f>G170</f>
        <v>4.7929462590420259E-3</v>
      </c>
      <c r="I170" s="73">
        <f t="shared" ref="I170:L170" si="99">H170</f>
        <v>4.7929462590420259E-3</v>
      </c>
      <c r="J170" s="73">
        <f t="shared" si="99"/>
        <v>4.7929462590420259E-3</v>
      </c>
      <c r="K170" s="73">
        <f t="shared" si="99"/>
        <v>4.7929462590420259E-3</v>
      </c>
      <c r="L170" s="73">
        <f t="shared" si="99"/>
        <v>4.7929462590420259E-3</v>
      </c>
      <c r="M170" s="159"/>
      <c r="N170" s="159"/>
      <c r="P170" t="s">
        <v>109</v>
      </c>
    </row>
    <row r="171" spans="2:16" x14ac:dyDescent="0.3">
      <c r="C171" s="22" t="s">
        <v>107</v>
      </c>
      <c r="D171" s="22"/>
      <c r="E171" s="50">
        <f t="shared" ref="E171:L171" si="100">+E169-E145</f>
        <v>10157</v>
      </c>
      <c r="F171" s="50">
        <f t="shared" si="100"/>
        <v>10903</v>
      </c>
      <c r="G171" s="50">
        <f t="shared" si="100"/>
        <v>12547</v>
      </c>
      <c r="H171" s="50">
        <f t="shared" ca="1" si="100"/>
        <v>8908.426925694399</v>
      </c>
      <c r="I171" s="50">
        <f t="shared" ca="1" si="100"/>
        <v>9261.07952221085</v>
      </c>
      <c r="J171" s="50">
        <f t="shared" ca="1" si="100"/>
        <v>10114.413840115607</v>
      </c>
      <c r="K171" s="50">
        <f t="shared" ca="1" si="100"/>
        <v>11423.770052660848</v>
      </c>
      <c r="L171" s="50">
        <f t="shared" ca="1" si="100"/>
        <v>13112.053464371402</v>
      </c>
      <c r="M171" s="50"/>
      <c r="N171" s="50"/>
      <c r="P171" t="s">
        <v>110</v>
      </c>
    </row>
    <row r="172" spans="2:16" x14ac:dyDescent="0.3">
      <c r="D172"/>
      <c r="N172" s="5"/>
    </row>
    <row r="173" spans="2:16" ht="15" thickBot="1" x14ac:dyDescent="0.35">
      <c r="B173" t="s">
        <v>82</v>
      </c>
      <c r="C173" s="57" t="s">
        <v>111</v>
      </c>
      <c r="D173" s="57"/>
      <c r="E173" s="58"/>
      <c r="F173" s="58"/>
      <c r="G173" s="58"/>
      <c r="H173" s="58"/>
      <c r="I173" s="58"/>
      <c r="J173" s="58"/>
      <c r="K173" s="58"/>
      <c r="L173" s="58"/>
      <c r="M173" s="60"/>
      <c r="N173" s="60"/>
    </row>
    <row r="174" spans="2:16" x14ac:dyDescent="0.3">
      <c r="C174" t="s">
        <v>112</v>
      </c>
      <c r="D174"/>
      <c r="H174" s="5">
        <f>G177</f>
        <v>32978</v>
      </c>
      <c r="I174" s="5">
        <f t="shared" ref="I174:L174" ca="1" si="101">H177</f>
        <v>32067.462949805129</v>
      </c>
      <c r="J174" s="5">
        <f t="shared" ca="1" si="101"/>
        <v>33637.471804821384</v>
      </c>
      <c r="K174" s="5">
        <f t="shared" ca="1" si="101"/>
        <v>35289.195347974579</v>
      </c>
      <c r="L174" s="5">
        <f t="shared" ca="1" si="101"/>
        <v>37213.391186761692</v>
      </c>
      <c r="N174" s="5"/>
      <c r="P174" t="s">
        <v>94</v>
      </c>
    </row>
    <row r="175" spans="2:16" x14ac:dyDescent="0.3">
      <c r="C175" t="s">
        <v>113</v>
      </c>
      <c r="D175"/>
      <c r="E175" s="55"/>
      <c r="F175" s="55"/>
      <c r="G175" s="55"/>
      <c r="H175" s="5">
        <f ca="1">-H169</f>
        <v>-1212.5697828372552</v>
      </c>
      <c r="I175" s="5">
        <f t="shared" ref="I175:L175" ca="1" si="102">-I169</f>
        <v>-1271.9366650679929</v>
      </c>
      <c r="J175" s="5">
        <f t="shared" ca="1" si="102"/>
        <v>-1334.3934319523412</v>
      </c>
      <c r="K175" s="5">
        <f t="shared" ca="1" si="102"/>
        <v>-1407.1532175963318</v>
      </c>
      <c r="L175" s="5">
        <f t="shared" ca="1" si="102"/>
        <v>-1491.9324588614834</v>
      </c>
      <c r="N175" s="5"/>
      <c r="P175" t="s">
        <v>116</v>
      </c>
    </row>
    <row r="176" spans="2:16" x14ac:dyDescent="0.3">
      <c r="C176" s="69" t="s">
        <v>114</v>
      </c>
      <c r="D176" s="69"/>
      <c r="E176" s="73"/>
      <c r="F176" s="73"/>
      <c r="G176" s="73"/>
      <c r="H176" s="66">
        <f ca="1">H177-H174-H175</f>
        <v>302.03273264238419</v>
      </c>
      <c r="I176" s="66">
        <f t="shared" ref="I176:L176" ca="1" si="103">I177-I174-I175</f>
        <v>2841.9455200842476</v>
      </c>
      <c r="J176" s="66">
        <f t="shared" ca="1" si="103"/>
        <v>2986.1169751055368</v>
      </c>
      <c r="K176" s="66">
        <f t="shared" ca="1" si="103"/>
        <v>3331.3490563834448</v>
      </c>
      <c r="L176" s="66">
        <f t="shared" ca="1" si="103"/>
        <v>3733.9932595368446</v>
      </c>
      <c r="M176" s="60"/>
      <c r="N176" s="60"/>
      <c r="P176" t="s">
        <v>117</v>
      </c>
    </row>
    <row r="177" spans="2:16" x14ac:dyDescent="0.3">
      <c r="C177" s="22" t="s">
        <v>115</v>
      </c>
      <c r="D177" s="22"/>
      <c r="F177" s="50">
        <f t="shared" ref="F177:L177" si="104">F52</f>
        <v>22283</v>
      </c>
      <c r="G177" s="50">
        <f t="shared" si="104"/>
        <v>32978</v>
      </c>
      <c r="H177" s="50">
        <f t="shared" ca="1" si="104"/>
        <v>32067.462949805129</v>
      </c>
      <c r="I177" s="50">
        <f t="shared" ca="1" si="104"/>
        <v>33637.471804821384</v>
      </c>
      <c r="J177" s="50">
        <f t="shared" ca="1" si="104"/>
        <v>35289.195347974579</v>
      </c>
      <c r="K177" s="50">
        <f t="shared" ca="1" si="104"/>
        <v>37213.391186761692</v>
      </c>
      <c r="L177" s="50">
        <f t="shared" ca="1" si="104"/>
        <v>39455.451987437053</v>
      </c>
      <c r="M177" s="50"/>
      <c r="N177" s="50"/>
      <c r="P177" t="s">
        <v>118</v>
      </c>
    </row>
    <row r="178" spans="2:16" x14ac:dyDescent="0.3">
      <c r="D178"/>
      <c r="N178" s="5"/>
    </row>
    <row r="179" spans="2:16" ht="15" thickBot="1" x14ac:dyDescent="0.35">
      <c r="B179" t="s">
        <v>82</v>
      </c>
      <c r="C179" s="57" t="s">
        <v>119</v>
      </c>
      <c r="D179" s="57"/>
      <c r="E179" s="58"/>
      <c r="F179" s="58"/>
      <c r="G179" s="58"/>
      <c r="H179" s="58"/>
      <c r="I179" s="58"/>
      <c r="J179" s="58"/>
      <c r="K179" s="58"/>
      <c r="L179" s="58"/>
      <c r="M179" s="60"/>
      <c r="N179" s="60"/>
    </row>
    <row r="180" spans="2:16" x14ac:dyDescent="0.3">
      <c r="C180" t="s">
        <v>112</v>
      </c>
      <c r="D180"/>
      <c r="H180" s="5">
        <f>G184</f>
        <v>45898</v>
      </c>
      <c r="I180" s="5">
        <f t="shared" ref="I180:L180" ca="1" si="105">H184</f>
        <v>16570.821451049007</v>
      </c>
      <c r="J180" s="5">
        <f t="shared" ca="1" si="105"/>
        <v>-9642.8190057002357</v>
      </c>
      <c r="K180" s="5">
        <f t="shared" ca="1" si="105"/>
        <v>-33037.996802366011</v>
      </c>
      <c r="L180" s="5">
        <f t="shared" ca="1" si="105"/>
        <v>-53604.122331007478</v>
      </c>
      <c r="N180" s="5"/>
      <c r="P180" t="s">
        <v>94</v>
      </c>
    </row>
    <row r="181" spans="2:16" x14ac:dyDescent="0.3">
      <c r="C181" t="s">
        <v>121</v>
      </c>
      <c r="D181"/>
      <c r="E181" s="5">
        <f t="shared" ref="E181:L181" si="106">E29</f>
        <v>48351</v>
      </c>
      <c r="F181" s="5">
        <f t="shared" si="106"/>
        <v>59531</v>
      </c>
      <c r="G181" s="5">
        <f t="shared" si="106"/>
        <v>55256</v>
      </c>
      <c r="H181" s="5">
        <f t="shared" ca="1" si="106"/>
        <v>51902.821451049014</v>
      </c>
      <c r="I181" s="5">
        <f t="shared" ca="1" si="106"/>
        <v>55016.359543250757</v>
      </c>
      <c r="J181" s="5">
        <f t="shared" ca="1" si="106"/>
        <v>57834.822203334224</v>
      </c>
      <c r="K181" s="5">
        <f t="shared" ca="1" si="106"/>
        <v>60663.874471358533</v>
      </c>
      <c r="L181" s="5">
        <f t="shared" ca="1" si="106"/>
        <v>64097.133649215946</v>
      </c>
      <c r="N181" s="5"/>
      <c r="P181" t="s">
        <v>123</v>
      </c>
    </row>
    <row r="182" spans="2:16" x14ac:dyDescent="0.3">
      <c r="C182" t="s">
        <v>120</v>
      </c>
      <c r="D182"/>
      <c r="E182" s="45">
        <v>-12803</v>
      </c>
      <c r="F182" s="45">
        <v>-13735</v>
      </c>
      <c r="G182" s="45">
        <v>-14129</v>
      </c>
      <c r="H182" s="5">
        <f>G182</f>
        <v>-14129</v>
      </c>
      <c r="I182" s="5">
        <f t="shared" ref="I182:L183" si="107">H182</f>
        <v>-14129</v>
      </c>
      <c r="J182" s="5">
        <f t="shared" si="107"/>
        <v>-14129</v>
      </c>
      <c r="K182" s="5">
        <f t="shared" si="107"/>
        <v>-14129</v>
      </c>
      <c r="L182" s="5">
        <f t="shared" si="107"/>
        <v>-14129</v>
      </c>
      <c r="N182" s="5"/>
      <c r="P182" t="s">
        <v>124</v>
      </c>
    </row>
    <row r="183" spans="2:16" x14ac:dyDescent="0.3">
      <c r="C183" s="76" t="s">
        <v>122</v>
      </c>
      <c r="D183" s="76"/>
      <c r="E183" s="72">
        <v>-33001</v>
      </c>
      <c r="F183" s="72">
        <v>-73056</v>
      </c>
      <c r="G183" s="72">
        <v>-67101</v>
      </c>
      <c r="H183" s="66">
        <f>G183</f>
        <v>-67101</v>
      </c>
      <c r="I183" s="66">
        <f t="shared" si="107"/>
        <v>-67101</v>
      </c>
      <c r="J183" s="66">
        <f t="shared" si="107"/>
        <v>-67101</v>
      </c>
      <c r="K183" s="66">
        <f t="shared" si="107"/>
        <v>-67101</v>
      </c>
      <c r="L183" s="66">
        <f t="shared" si="107"/>
        <v>-67101</v>
      </c>
      <c r="M183" s="60"/>
      <c r="N183" s="60"/>
      <c r="P183" t="s">
        <v>125</v>
      </c>
    </row>
    <row r="184" spans="2:16" x14ac:dyDescent="0.3">
      <c r="C184" s="74" t="s">
        <v>115</v>
      </c>
      <c r="D184" s="74"/>
      <c r="E184" s="75"/>
      <c r="F184" s="75">
        <f>F64</f>
        <v>70400</v>
      </c>
      <c r="G184" s="75">
        <f>G64</f>
        <v>45898</v>
      </c>
      <c r="H184" s="75">
        <f ca="1">SUM(H180:H183)</f>
        <v>16570.821451049007</v>
      </c>
      <c r="I184" s="75">
        <f ca="1">SUM(I180:I183)</f>
        <v>-9642.8190057002357</v>
      </c>
      <c r="J184" s="75">
        <f ca="1">SUM(J180:J183)</f>
        <v>-33037.996802366011</v>
      </c>
      <c r="K184" s="75">
        <f ca="1">SUM(K180:K183)</f>
        <v>-53604.122331007478</v>
      </c>
      <c r="L184" s="75">
        <f ca="1">SUM(L180:L183)</f>
        <v>-70736.988681791525</v>
      </c>
      <c r="M184" s="75"/>
      <c r="N184" s="75"/>
      <c r="P184" t="s">
        <v>126</v>
      </c>
    </row>
    <row r="185" spans="2:16" x14ac:dyDescent="0.3">
      <c r="D185"/>
      <c r="G185" s="61"/>
      <c r="H185" s="60"/>
      <c r="I185" s="60"/>
      <c r="J185" s="60"/>
      <c r="K185" s="60"/>
      <c r="L185" s="60"/>
      <c r="M185" s="60"/>
      <c r="N185" s="60"/>
    </row>
    <row r="186" spans="2:16" ht="15" thickBot="1" x14ac:dyDescent="0.35">
      <c r="B186" t="s">
        <v>82</v>
      </c>
      <c r="C186" s="57" t="s">
        <v>127</v>
      </c>
      <c r="D186" s="57"/>
      <c r="E186" s="58"/>
      <c r="F186" s="58"/>
      <c r="G186" s="58"/>
      <c r="H186" s="58"/>
      <c r="I186" s="58"/>
      <c r="J186" s="58"/>
      <c r="K186" s="58"/>
      <c r="L186" s="58"/>
      <c r="M186" s="60"/>
      <c r="N186" s="60"/>
    </row>
    <row r="187" spans="2:16" x14ac:dyDescent="0.3">
      <c r="C187" t="s">
        <v>69</v>
      </c>
      <c r="D187"/>
      <c r="E187" s="34">
        <f>F187-1</f>
        <v>2017</v>
      </c>
      <c r="F187" s="34">
        <f>G187-1</f>
        <v>2018</v>
      </c>
      <c r="G187" s="34">
        <f>YEAR($D$10)</f>
        <v>2019</v>
      </c>
      <c r="H187" s="33">
        <f>G187+1</f>
        <v>2020</v>
      </c>
      <c r="I187" s="33">
        <f>H187+1</f>
        <v>2021</v>
      </c>
      <c r="J187" s="33">
        <f>I187+1</f>
        <v>2022</v>
      </c>
      <c r="K187" s="33">
        <f>J187+1</f>
        <v>2023</v>
      </c>
      <c r="L187" s="33">
        <f>K187+1</f>
        <v>2024</v>
      </c>
      <c r="M187" s="33"/>
      <c r="N187" s="33"/>
    </row>
    <row r="188" spans="2:16" x14ac:dyDescent="0.3">
      <c r="C188" s="32" t="s">
        <v>68</v>
      </c>
      <c r="D188" s="211"/>
      <c r="E188" s="31">
        <f>EOMONTH(F188,-12)</f>
        <v>43008</v>
      </c>
      <c r="F188" s="31">
        <f t="shared" ref="F188" si="108">EOMONTH(G188,-12)</f>
        <v>43373</v>
      </c>
      <c r="G188" s="31">
        <f>$D$10</f>
        <v>43737</v>
      </c>
      <c r="H188" s="31">
        <f>EOMONTH(G188,12)</f>
        <v>44104</v>
      </c>
      <c r="I188" s="31">
        <f>EOMONTH(H188,12)</f>
        <v>44469</v>
      </c>
      <c r="J188" s="31">
        <f>EOMONTH(I188,12)</f>
        <v>44834</v>
      </c>
      <c r="K188" s="31">
        <f>EOMONTH(J188,12)</f>
        <v>45199</v>
      </c>
      <c r="L188" s="31">
        <f>EOMONTH(K188,12)</f>
        <v>45565</v>
      </c>
      <c r="M188" s="155"/>
      <c r="N188" s="155"/>
    </row>
    <row r="189" spans="2:16" x14ac:dyDescent="0.3">
      <c r="D189"/>
      <c r="E189"/>
      <c r="F189"/>
      <c r="G189"/>
      <c r="H189"/>
      <c r="I189"/>
      <c r="J189"/>
      <c r="K189"/>
      <c r="L189"/>
      <c r="M189"/>
    </row>
    <row r="190" spans="2:16" x14ac:dyDescent="0.3">
      <c r="C190" s="21" t="s">
        <v>128</v>
      </c>
      <c r="D190" s="21"/>
      <c r="E190"/>
      <c r="F190"/>
      <c r="G190"/>
      <c r="H190"/>
      <c r="I190"/>
      <c r="J190"/>
      <c r="K190"/>
      <c r="L190"/>
      <c r="M190"/>
    </row>
    <row r="191" spans="2:16" x14ac:dyDescent="0.3">
      <c r="C191" t="s">
        <v>129</v>
      </c>
      <c r="D191"/>
      <c r="E191"/>
      <c r="F191"/>
      <c r="G191"/>
      <c r="H191" s="2">
        <f>G46</f>
        <v>205898</v>
      </c>
      <c r="I191" s="2">
        <f ca="1">H46</f>
        <v>180545.75446932125</v>
      </c>
      <c r="J191" s="2">
        <f ca="1">I46</f>
        <v>156047.73141116987</v>
      </c>
      <c r="K191" s="2">
        <f ca="1">J46</f>
        <v>137019.65611179644</v>
      </c>
      <c r="L191" s="2">
        <f ca="1">K46</f>
        <v>120362.41410281193</v>
      </c>
      <c r="M191" s="2"/>
      <c r="N191" s="2"/>
      <c r="P191" t="s">
        <v>138</v>
      </c>
    </row>
    <row r="192" spans="2:16" x14ac:dyDescent="0.3">
      <c r="C192" t="s">
        <v>130</v>
      </c>
      <c r="D192"/>
      <c r="G192" s="60"/>
      <c r="H192" s="77">
        <v>-50000</v>
      </c>
      <c r="I192" s="77">
        <v>-50000</v>
      </c>
      <c r="J192" s="77">
        <v>-50000</v>
      </c>
      <c r="K192" s="77">
        <v>-50000</v>
      </c>
      <c r="L192" s="77">
        <v>-50000</v>
      </c>
      <c r="M192" s="77"/>
      <c r="N192" s="77"/>
      <c r="P192" t="s">
        <v>139</v>
      </c>
    </row>
    <row r="193" spans="2:16" x14ac:dyDescent="0.3">
      <c r="C193" s="69" t="s">
        <v>131</v>
      </c>
      <c r="D193" s="69"/>
      <c r="E193" s="66"/>
      <c r="F193" s="66"/>
      <c r="G193" s="66"/>
      <c r="H193" s="66">
        <f ca="1">H81+H84+H86+H88+H89</f>
        <v>-31372.245530678745</v>
      </c>
      <c r="I193" s="66">
        <f ca="1">I81+I84+I86+I88+I89</f>
        <v>-24498.02305815139</v>
      </c>
      <c r="J193" s="66">
        <f ca="1">J81+J84+J86+J88+J89</f>
        <v>-19028.07529937342</v>
      </c>
      <c r="K193" s="66">
        <f ca="1">K81+K84+K86+K88+K89</f>
        <v>-16657.242008984511</v>
      </c>
      <c r="L193" s="66">
        <f ca="1">L81+L84+L86+L88+L89</f>
        <v>-9882.0008764992672</v>
      </c>
      <c r="M193" s="60"/>
      <c r="N193" s="60"/>
      <c r="P193" t="s">
        <v>140</v>
      </c>
    </row>
    <row r="194" spans="2:16" x14ac:dyDescent="0.3">
      <c r="C194" s="22" t="s">
        <v>132</v>
      </c>
      <c r="D194" s="22"/>
      <c r="G194" s="60"/>
      <c r="H194" s="75">
        <f ca="1">SUM(H191:H193)</f>
        <v>124525.75446932125</v>
      </c>
      <c r="I194" s="75">
        <f t="shared" ref="I194:L194" ca="1" si="109">SUM(I191:I193)</f>
        <v>106047.73141116987</v>
      </c>
      <c r="J194" s="75">
        <f t="shared" ca="1" si="109"/>
        <v>87019.656111796445</v>
      </c>
      <c r="K194" s="75">
        <f t="shared" ca="1" si="109"/>
        <v>70362.414102811934</v>
      </c>
      <c r="L194" s="75">
        <f t="shared" ca="1" si="109"/>
        <v>60480.413226312667</v>
      </c>
      <c r="M194" s="75"/>
      <c r="N194" s="75"/>
    </row>
    <row r="195" spans="2:16" x14ac:dyDescent="0.3">
      <c r="D195"/>
      <c r="G195" s="60"/>
      <c r="H195" s="60"/>
      <c r="I195" s="60"/>
      <c r="J195" s="60"/>
      <c r="K195" s="60"/>
      <c r="L195" s="60"/>
      <c r="M195" s="60"/>
      <c r="N195" s="60"/>
    </row>
    <row r="196" spans="2:16" x14ac:dyDescent="0.3">
      <c r="C196" s="22" t="s">
        <v>133</v>
      </c>
      <c r="D196" s="22"/>
      <c r="N196" s="5"/>
    </row>
    <row r="197" spans="2:16" x14ac:dyDescent="0.3">
      <c r="C197" t="s">
        <v>134</v>
      </c>
      <c r="D197"/>
      <c r="H197" s="5">
        <f>G200</f>
        <v>5980</v>
      </c>
      <c r="I197" s="5">
        <f t="shared" ref="I197:L197" ca="1" si="110">H200</f>
        <v>12000</v>
      </c>
      <c r="J197" s="5">
        <f t="shared" ca="1" si="110"/>
        <v>12000</v>
      </c>
      <c r="K197" s="5">
        <f t="shared" ca="1" si="110"/>
        <v>12000</v>
      </c>
      <c r="L197" s="5">
        <f t="shared" ca="1" si="110"/>
        <v>12000</v>
      </c>
      <c r="N197" s="5"/>
      <c r="P197" t="s">
        <v>141</v>
      </c>
    </row>
    <row r="198" spans="2:16" x14ac:dyDescent="0.3">
      <c r="C198" s="64" t="s">
        <v>135</v>
      </c>
      <c r="D198" s="64"/>
      <c r="H198" s="5">
        <f ca="1">-MIN(H197,H194)</f>
        <v>-5980</v>
      </c>
      <c r="I198" s="5">
        <f t="shared" ref="I198:L198" ca="1" si="111">-MIN(I197,I194)</f>
        <v>-12000</v>
      </c>
      <c r="J198" s="5">
        <f t="shared" ca="1" si="111"/>
        <v>-12000</v>
      </c>
      <c r="K198" s="5">
        <f t="shared" ca="1" si="111"/>
        <v>-12000</v>
      </c>
      <c r="L198" s="5">
        <f t="shared" ca="1" si="111"/>
        <v>-12000</v>
      </c>
      <c r="N198" s="5"/>
      <c r="P198" t="s">
        <v>142</v>
      </c>
    </row>
    <row r="199" spans="2:16" x14ac:dyDescent="0.3">
      <c r="C199" s="65" t="s">
        <v>136</v>
      </c>
      <c r="D199" s="65"/>
      <c r="E199" s="60"/>
      <c r="F199" s="60"/>
      <c r="G199" s="60"/>
      <c r="H199" s="77">
        <v>12000</v>
      </c>
      <c r="I199" s="77">
        <v>12000</v>
      </c>
      <c r="J199" s="77">
        <v>12000</v>
      </c>
      <c r="K199" s="77">
        <v>12000</v>
      </c>
      <c r="L199" s="77">
        <v>12000</v>
      </c>
      <c r="M199" s="77"/>
      <c r="N199" s="77"/>
      <c r="P199" t="s">
        <v>139</v>
      </c>
    </row>
    <row r="200" spans="2:16" x14ac:dyDescent="0.3">
      <c r="C200" s="67" t="s">
        <v>103</v>
      </c>
      <c r="D200" s="67"/>
      <c r="E200" s="68"/>
      <c r="F200" s="78">
        <f>F58</f>
        <v>11964</v>
      </c>
      <c r="G200" s="78">
        <f>G58</f>
        <v>5980</v>
      </c>
      <c r="H200" s="78">
        <f ca="1">SUM(H197:H199)</f>
        <v>12000</v>
      </c>
      <c r="I200" s="78">
        <f t="shared" ref="I200:L200" ca="1" si="112">SUM(I197:I199)</f>
        <v>12000</v>
      </c>
      <c r="J200" s="78">
        <f t="shared" ca="1" si="112"/>
        <v>12000</v>
      </c>
      <c r="K200" s="78">
        <f t="shared" ca="1" si="112"/>
        <v>12000</v>
      </c>
      <c r="L200" s="78">
        <f t="shared" ca="1" si="112"/>
        <v>12000</v>
      </c>
      <c r="M200" s="75"/>
      <c r="N200" s="75"/>
    </row>
    <row r="201" spans="2:16" x14ac:dyDescent="0.3">
      <c r="C201" s="70" t="s">
        <v>137</v>
      </c>
      <c r="D201" s="70"/>
      <c r="E201" s="66"/>
      <c r="F201" s="66"/>
      <c r="G201" s="66"/>
      <c r="H201" s="66"/>
      <c r="I201" s="66"/>
      <c r="J201" s="66"/>
      <c r="K201" s="66"/>
      <c r="L201" s="66"/>
      <c r="M201" s="60"/>
      <c r="N201" s="60"/>
    </row>
    <row r="202" spans="2:16" x14ac:dyDescent="0.3">
      <c r="D202"/>
      <c r="N202" s="5"/>
    </row>
    <row r="203" spans="2:16" ht="15" thickBot="1" x14ac:dyDescent="0.35">
      <c r="B203" t="s">
        <v>82</v>
      </c>
      <c r="C203" s="57" t="s">
        <v>143</v>
      </c>
      <c r="D203" s="57"/>
      <c r="E203" s="58"/>
      <c r="F203" s="58"/>
      <c r="G203" s="58"/>
      <c r="H203" s="58"/>
      <c r="I203" s="58"/>
      <c r="J203" s="58"/>
      <c r="K203" s="58"/>
      <c r="L203" s="58"/>
      <c r="M203" s="60"/>
      <c r="N203" s="60"/>
    </row>
    <row r="204" spans="2:16" x14ac:dyDescent="0.3">
      <c r="C204" t="s">
        <v>69</v>
      </c>
      <c r="D204"/>
      <c r="E204" s="34">
        <f>F204-1</f>
        <v>2017</v>
      </c>
      <c r="F204" s="34">
        <f>G204-1</f>
        <v>2018</v>
      </c>
      <c r="G204" s="34">
        <f>YEAR($D$10)</f>
        <v>2019</v>
      </c>
      <c r="H204" s="33">
        <f>G204+1</f>
        <v>2020</v>
      </c>
      <c r="I204" s="33">
        <f>H204+1</f>
        <v>2021</v>
      </c>
      <c r="J204" s="33">
        <f>I204+1</f>
        <v>2022</v>
      </c>
      <c r="K204" s="33">
        <f>J204+1</f>
        <v>2023</v>
      </c>
      <c r="L204" s="33">
        <f>K204+1</f>
        <v>2024</v>
      </c>
      <c r="M204" s="33"/>
      <c r="N204" s="33"/>
    </row>
    <row r="205" spans="2:16" x14ac:dyDescent="0.3">
      <c r="C205" s="32" t="s">
        <v>68</v>
      </c>
      <c r="D205" s="211"/>
      <c r="E205" s="31">
        <f>EOMONTH(F205,-12)</f>
        <v>43008</v>
      </c>
      <c r="F205" s="31">
        <f t="shared" ref="F205" si="113">EOMONTH(G205,-12)</f>
        <v>43373</v>
      </c>
      <c r="G205" s="31">
        <f>$D$10</f>
        <v>43737</v>
      </c>
      <c r="H205" s="31">
        <f>EOMONTH(G205,12)</f>
        <v>44104</v>
      </c>
      <c r="I205" s="31">
        <f>EOMONTH(H205,12)</f>
        <v>44469</v>
      </c>
      <c r="J205" s="31">
        <f>EOMONTH(I205,12)</f>
        <v>44834</v>
      </c>
      <c r="K205" s="31">
        <f>EOMONTH(J205,12)</f>
        <v>45199</v>
      </c>
      <c r="L205" s="31">
        <f>EOMONTH(K205,12)</f>
        <v>45565</v>
      </c>
      <c r="M205" s="155"/>
      <c r="N205" s="155"/>
    </row>
    <row r="206" spans="2:16" x14ac:dyDescent="0.3">
      <c r="D206"/>
      <c r="N206" s="5"/>
    </row>
    <row r="207" spans="2:16" x14ac:dyDescent="0.3">
      <c r="C207" t="s">
        <v>144</v>
      </c>
      <c r="D207"/>
      <c r="E207" s="5">
        <f>-E25</f>
        <v>2323</v>
      </c>
      <c r="F207" s="5">
        <f>-F25</f>
        <v>3240</v>
      </c>
      <c r="G207" s="5">
        <f>-G25</f>
        <v>3576</v>
      </c>
      <c r="N207" s="5"/>
      <c r="P207" t="s">
        <v>152</v>
      </c>
    </row>
    <row r="208" spans="2:16" x14ac:dyDescent="0.3">
      <c r="D208"/>
      <c r="N208" s="5"/>
    </row>
    <row r="209" spans="2:16" x14ac:dyDescent="0.3">
      <c r="C209" s="80" t="s">
        <v>133</v>
      </c>
      <c r="D209" s="80"/>
      <c r="N209" s="5"/>
    </row>
    <row r="210" spans="2:16" x14ac:dyDescent="0.3">
      <c r="C210" t="s">
        <v>145</v>
      </c>
      <c r="D210"/>
      <c r="E210" s="82">
        <v>1.2E-2</v>
      </c>
      <c r="F210" s="82">
        <v>2.18E-2</v>
      </c>
      <c r="G210" s="82">
        <v>2.24E-2</v>
      </c>
      <c r="H210" s="81">
        <f>G210</f>
        <v>2.24E-2</v>
      </c>
      <c r="I210" s="81">
        <f t="shared" ref="I210:L210" si="114">H210</f>
        <v>2.24E-2</v>
      </c>
      <c r="J210" s="81">
        <f t="shared" si="114"/>
        <v>2.24E-2</v>
      </c>
      <c r="K210" s="81">
        <f t="shared" si="114"/>
        <v>2.24E-2</v>
      </c>
      <c r="L210" s="81">
        <f t="shared" si="114"/>
        <v>2.24E-2</v>
      </c>
      <c r="M210" s="81"/>
      <c r="N210" s="81"/>
      <c r="P210" t="s">
        <v>2</v>
      </c>
    </row>
    <row r="211" spans="2:16" x14ac:dyDescent="0.3">
      <c r="C211" s="69" t="s">
        <v>146</v>
      </c>
      <c r="D211" s="69"/>
      <c r="E211" s="66"/>
      <c r="F211" s="66">
        <f t="shared" ref="F211:L211" si="115">F58</f>
        <v>11964</v>
      </c>
      <c r="G211" s="66">
        <f t="shared" si="115"/>
        <v>5980</v>
      </c>
      <c r="H211" s="66">
        <f t="shared" ca="1" si="115"/>
        <v>12000</v>
      </c>
      <c r="I211" s="66">
        <f t="shared" ca="1" si="115"/>
        <v>12000</v>
      </c>
      <c r="J211" s="66">
        <f t="shared" ca="1" si="115"/>
        <v>12000</v>
      </c>
      <c r="K211" s="66">
        <f t="shared" ca="1" si="115"/>
        <v>12000</v>
      </c>
      <c r="L211" s="66">
        <f t="shared" ca="1" si="115"/>
        <v>12000</v>
      </c>
      <c r="M211" s="60"/>
      <c r="N211" s="60"/>
      <c r="P211" t="s">
        <v>154</v>
      </c>
    </row>
    <row r="212" spans="2:16" x14ac:dyDescent="0.3">
      <c r="C212" s="22" t="s">
        <v>147</v>
      </c>
      <c r="D212" s="22"/>
      <c r="E212" s="50"/>
      <c r="F212" s="50">
        <f t="shared" ref="F212" si="116">AVERAGE(E211:F211)*F210</f>
        <v>260.8152</v>
      </c>
      <c r="G212" s="50">
        <f>AVERAGE(F211:G211)*G210</f>
        <v>200.97280000000001</v>
      </c>
      <c r="H212" s="50">
        <f ca="1">IF($D$7=1,AVERAGE(G211:H211)*H210,0)</f>
        <v>201.376</v>
      </c>
      <c r="I212" s="50">
        <f t="shared" ref="I212:L212" ca="1" si="117">IF($D$7=1,AVERAGE(H211:I211)*I210,0)</f>
        <v>268.8</v>
      </c>
      <c r="J212" s="50">
        <f t="shared" ca="1" si="117"/>
        <v>268.8</v>
      </c>
      <c r="K212" s="50">
        <f t="shared" ca="1" si="117"/>
        <v>268.8</v>
      </c>
      <c r="L212" s="50">
        <f t="shared" ca="1" si="117"/>
        <v>268.8</v>
      </c>
      <c r="M212" s="50"/>
      <c r="N212" s="50"/>
      <c r="P212" t="s">
        <v>155</v>
      </c>
    </row>
    <row r="213" spans="2:16" x14ac:dyDescent="0.3">
      <c r="C213" s="64"/>
      <c r="D213" s="64"/>
      <c r="N213" s="5"/>
    </row>
    <row r="214" spans="2:16" x14ac:dyDescent="0.3">
      <c r="C214" s="80" t="s">
        <v>148</v>
      </c>
      <c r="D214" s="80"/>
      <c r="N214" s="5"/>
    </row>
    <row r="215" spans="2:16" x14ac:dyDescent="0.3">
      <c r="C215" t="s">
        <v>146</v>
      </c>
      <c r="D215"/>
      <c r="F215" s="5">
        <f t="shared" ref="F215:L215" si="118">F59</f>
        <v>102519</v>
      </c>
      <c r="G215" s="5">
        <f t="shared" si="118"/>
        <v>102067</v>
      </c>
      <c r="H215" s="5">
        <f t="shared" si="118"/>
        <v>102067</v>
      </c>
      <c r="I215" s="5">
        <f t="shared" si="118"/>
        <v>102067</v>
      </c>
      <c r="J215" s="5">
        <f t="shared" si="118"/>
        <v>102067</v>
      </c>
      <c r="K215" s="5">
        <f t="shared" si="118"/>
        <v>102067</v>
      </c>
      <c r="L215" s="5">
        <f t="shared" si="118"/>
        <v>102067</v>
      </c>
      <c r="N215" s="5"/>
      <c r="P215" t="s">
        <v>156</v>
      </c>
    </row>
    <row r="216" spans="2:16" x14ac:dyDescent="0.3">
      <c r="C216" s="69" t="s">
        <v>145</v>
      </c>
      <c r="D216" s="69"/>
      <c r="E216" s="66"/>
      <c r="F216" s="84">
        <f t="shared" ref="F216" si="119">F217/AVERAGE(E215:F215)</f>
        <v>2.9059830860620958E-2</v>
      </c>
      <c r="G216" s="84">
        <f>G217/AVERAGE(F215:G215)</f>
        <v>3.2993725865895024E-2</v>
      </c>
      <c r="H216" s="84">
        <f>G216</f>
        <v>3.2993725865895024E-2</v>
      </c>
      <c r="I216" s="84">
        <f t="shared" ref="I216:L216" si="120">H216</f>
        <v>3.2993725865895024E-2</v>
      </c>
      <c r="J216" s="84">
        <f t="shared" si="120"/>
        <v>3.2993725865895024E-2</v>
      </c>
      <c r="K216" s="84">
        <f t="shared" si="120"/>
        <v>3.2993725865895024E-2</v>
      </c>
      <c r="L216" s="84">
        <f t="shared" si="120"/>
        <v>3.2993725865895024E-2</v>
      </c>
      <c r="M216" s="160"/>
      <c r="N216" s="160"/>
      <c r="P216" t="s">
        <v>2</v>
      </c>
    </row>
    <row r="217" spans="2:16" x14ac:dyDescent="0.3">
      <c r="C217" s="22" t="s">
        <v>147</v>
      </c>
      <c r="D217" s="22"/>
      <c r="F217" s="50">
        <f t="shared" ref="F217" si="121">F207-F212</f>
        <v>2979.1848</v>
      </c>
      <c r="G217" s="50">
        <f>G207-G212</f>
        <v>3375.0272</v>
      </c>
      <c r="H217" s="50">
        <f>AVERAGE(G215:H215)*H216</f>
        <v>3367.5706179543072</v>
      </c>
      <c r="I217" s="50">
        <f t="shared" ref="I217:L217" si="122">I216*AVERAGE(H215:I215)</f>
        <v>3367.5706179543072</v>
      </c>
      <c r="J217" s="50">
        <f t="shared" si="122"/>
        <v>3367.5706179543072</v>
      </c>
      <c r="K217" s="50">
        <f t="shared" si="122"/>
        <v>3367.5706179543072</v>
      </c>
      <c r="L217" s="50">
        <f t="shared" si="122"/>
        <v>3367.5706179543072</v>
      </c>
      <c r="M217" s="50"/>
      <c r="N217" s="50"/>
      <c r="P217" t="s">
        <v>153</v>
      </c>
    </row>
    <row r="218" spans="2:16" x14ac:dyDescent="0.3">
      <c r="C218" s="22"/>
      <c r="D218" s="22"/>
      <c r="N218" s="5"/>
    </row>
    <row r="219" spans="2:16" x14ac:dyDescent="0.3">
      <c r="C219" s="80" t="s">
        <v>149</v>
      </c>
      <c r="D219" s="80"/>
      <c r="N219" s="5"/>
    </row>
    <row r="220" spans="2:16" x14ac:dyDescent="0.3">
      <c r="C220" s="69" t="s">
        <v>150</v>
      </c>
      <c r="D220" s="69"/>
      <c r="E220" s="85">
        <v>1.9900000000000001E-2</v>
      </c>
      <c r="F220" s="85">
        <v>2.1600000000000001E-2</v>
      </c>
      <c r="G220" s="85">
        <v>2.1899999999999999E-2</v>
      </c>
      <c r="H220" s="83">
        <f>G220</f>
        <v>2.1899999999999999E-2</v>
      </c>
      <c r="I220" s="83">
        <f t="shared" ref="I220:L220" si="123">H220</f>
        <v>2.1899999999999999E-2</v>
      </c>
      <c r="J220" s="83">
        <f t="shared" si="123"/>
        <v>2.1899999999999999E-2</v>
      </c>
      <c r="K220" s="83">
        <f t="shared" si="123"/>
        <v>2.1899999999999999E-2</v>
      </c>
      <c r="L220" s="83">
        <f t="shared" si="123"/>
        <v>2.1899999999999999E-2</v>
      </c>
      <c r="M220" s="161"/>
      <c r="N220" s="161"/>
      <c r="P220" t="s">
        <v>2</v>
      </c>
    </row>
    <row r="221" spans="2:16" x14ac:dyDescent="0.3">
      <c r="C221" s="22" t="s">
        <v>151</v>
      </c>
      <c r="D221" s="22"/>
      <c r="E221" s="50">
        <f>E24</f>
        <v>5201</v>
      </c>
      <c r="F221" s="50">
        <f>F24</f>
        <v>5686</v>
      </c>
      <c r="G221" s="50">
        <f>G24</f>
        <v>4961</v>
      </c>
      <c r="H221" s="50">
        <f ca="1">IF($D$7=1,H220*AVERAGE(G46:H46),0)</f>
        <v>4231.5591114390672</v>
      </c>
      <c r="I221" s="50">
        <f ca="1">IF($D$7=1,I220*AVERAGE(H46:I46),0)</f>
        <v>3685.6986703913772</v>
      </c>
      <c r="J221" s="50">
        <f ca="1">IF($D$7=1,J220*AVERAGE(I46:J46),0)</f>
        <v>3209.0878933764811</v>
      </c>
      <c r="K221" s="50">
        <f ca="1">IF($D$7=1,K220*AVERAGE(J46:K46),0)</f>
        <v>2818.3336688499617</v>
      </c>
      <c r="L221" s="50">
        <f ca="1">IF($D$7=1,L220*AVERAGE(K46:L46),0)</f>
        <v>2527.7289592539146</v>
      </c>
      <c r="M221" s="50"/>
      <c r="N221" s="50"/>
      <c r="P221" t="s">
        <v>157</v>
      </c>
    </row>
    <row r="222" spans="2:16" x14ac:dyDescent="0.3">
      <c r="D222"/>
      <c r="N222" s="5"/>
    </row>
    <row r="223" spans="2:16" x14ac:dyDescent="0.3">
      <c r="B223" s="89">
        <v>0</v>
      </c>
      <c r="C223" s="30" t="s">
        <v>160</v>
      </c>
      <c r="D223" s="30"/>
      <c r="E223" s="90"/>
      <c r="F223" s="90"/>
      <c r="G223" s="90"/>
      <c r="H223" s="90"/>
      <c r="I223" s="90"/>
      <c r="J223" s="90"/>
      <c r="K223" s="90"/>
      <c r="L223" s="90"/>
      <c r="M223" s="162"/>
      <c r="N223" s="162"/>
      <c r="O223" s="89"/>
      <c r="P223" s="89"/>
    </row>
    <row r="224" spans="2:16" x14ac:dyDescent="0.3">
      <c r="B224" s="89"/>
      <c r="D224"/>
      <c r="E224" s="91"/>
      <c r="F224" s="91"/>
      <c r="G224" s="91"/>
      <c r="H224" s="91"/>
      <c r="I224" s="91"/>
      <c r="J224" s="91"/>
      <c r="K224" s="91"/>
      <c r="L224" s="91"/>
      <c r="M224" s="91"/>
      <c r="N224" s="91"/>
      <c r="O224" s="89"/>
      <c r="P224" s="89"/>
    </row>
    <row r="225" spans="2:16" ht="15" thickBot="1" x14ac:dyDescent="0.35">
      <c r="B225" s="89"/>
      <c r="C225" s="57" t="s">
        <v>194</v>
      </c>
      <c r="D225" s="57"/>
      <c r="E225" s="120"/>
      <c r="F225" s="120"/>
      <c r="G225" s="120"/>
      <c r="H225" s="120"/>
      <c r="I225" s="120"/>
      <c r="J225" s="120"/>
      <c r="K225" s="120"/>
      <c r="L225" s="120"/>
      <c r="M225" s="162"/>
      <c r="N225" s="162"/>
      <c r="O225" s="89"/>
      <c r="P225" s="89"/>
    </row>
    <row r="226" spans="2:16" x14ac:dyDescent="0.3">
      <c r="B226" s="89"/>
      <c r="D226"/>
      <c r="E226" s="91"/>
      <c r="F226" s="214" t="s">
        <v>161</v>
      </c>
      <c r="G226" s="214"/>
      <c r="H226" s="214"/>
      <c r="I226" s="214"/>
      <c r="J226" s="214"/>
      <c r="K226" s="91"/>
      <c r="L226" s="91"/>
      <c r="M226" s="91"/>
      <c r="N226" s="91"/>
      <c r="O226" s="89"/>
      <c r="P226" s="89"/>
    </row>
    <row r="227" spans="2:16" ht="15" thickBot="1" x14ac:dyDescent="0.35">
      <c r="B227" s="89"/>
      <c r="D227"/>
      <c r="E227" s="107">
        <f ca="1">H29</f>
        <v>51902.821451049014</v>
      </c>
      <c r="F227" s="108">
        <v>-0.08</v>
      </c>
      <c r="G227" s="108">
        <v>-0.06</v>
      </c>
      <c r="H227" s="108">
        <v>-0.04</v>
      </c>
      <c r="I227" s="108">
        <v>-0.02</v>
      </c>
      <c r="J227" s="108">
        <v>0.04</v>
      </c>
      <c r="K227" s="91"/>
      <c r="L227" s="91"/>
      <c r="M227" s="91"/>
      <c r="N227" s="91"/>
      <c r="O227" s="89"/>
      <c r="P227" s="89"/>
    </row>
    <row r="228" spans="2:16" x14ac:dyDescent="0.3">
      <c r="B228" s="89"/>
      <c r="D228"/>
      <c r="E228" s="109">
        <v>0.4</v>
      </c>
      <c r="F228" s="110">
        <v>54600.208375622984</v>
      </c>
      <c r="G228" s="111">
        <v>55784.566830042197</v>
      </c>
      <c r="H228" s="111">
        <v>56968.92528446138</v>
      </c>
      <c r="I228" s="111">
        <v>58153.283738880556</v>
      </c>
      <c r="J228" s="111">
        <v>61706.359102138056</v>
      </c>
      <c r="K228" s="91"/>
      <c r="L228" s="91"/>
      <c r="M228" s="91"/>
      <c r="N228" s="91"/>
      <c r="O228" s="89"/>
      <c r="P228" s="89"/>
    </row>
    <row r="229" spans="2:16" x14ac:dyDescent="0.3">
      <c r="B229" s="89"/>
      <c r="C229" s="119" t="s">
        <v>162</v>
      </c>
      <c r="D229" s="119"/>
      <c r="E229" s="109">
        <v>0.39</v>
      </c>
      <c r="F229" s="112">
        <v>52552.855647824254</v>
      </c>
      <c r="G229" s="113">
        <v>53692.706434247724</v>
      </c>
      <c r="H229" s="113">
        <v>54832.557220671275</v>
      </c>
      <c r="I229" s="113">
        <v>55972.408007094826</v>
      </c>
      <c r="J229" s="113">
        <v>59391.960366365456</v>
      </c>
      <c r="K229" s="91"/>
      <c r="L229" s="91"/>
      <c r="M229" s="91"/>
      <c r="N229" s="91"/>
      <c r="O229" s="89"/>
      <c r="P229" s="89"/>
    </row>
    <row r="230" spans="2:16" x14ac:dyDescent="0.3">
      <c r="B230" s="89"/>
      <c r="C230" s="119" t="s">
        <v>193</v>
      </c>
      <c r="D230" s="119"/>
      <c r="E230" s="109">
        <v>0.378</v>
      </c>
      <c r="F230" s="112">
        <v>50096.032374465642</v>
      </c>
      <c r="G230" s="113">
        <v>51182.473959294366</v>
      </c>
      <c r="H230" s="113">
        <v>52268.915544123156</v>
      </c>
      <c r="I230" s="113">
        <v>53355.35712895196</v>
      </c>
      <c r="J230" s="113">
        <v>56614.681883438323</v>
      </c>
      <c r="K230" s="91"/>
      <c r="L230" s="91"/>
      <c r="M230" s="91"/>
      <c r="N230" s="91"/>
      <c r="O230" s="89"/>
      <c r="P230" s="89"/>
    </row>
    <row r="231" spans="2:16" x14ac:dyDescent="0.3">
      <c r="B231" s="89"/>
      <c r="C231" s="119" t="s">
        <v>163</v>
      </c>
      <c r="D231" s="119"/>
      <c r="E231" s="109">
        <v>0.35</v>
      </c>
      <c r="F231" s="112">
        <v>44363.444736628866</v>
      </c>
      <c r="G231" s="113">
        <v>45325.264851069842</v>
      </c>
      <c r="H231" s="113">
        <v>46287.084965510883</v>
      </c>
      <c r="I231" s="113">
        <v>47248.905079951925</v>
      </c>
      <c r="J231" s="113">
        <v>50134.365423275027</v>
      </c>
      <c r="K231" s="91"/>
      <c r="L231" s="91"/>
      <c r="M231" s="91"/>
      <c r="N231" s="91"/>
      <c r="O231" s="89"/>
      <c r="P231" s="89"/>
    </row>
    <row r="232" spans="2:16" x14ac:dyDescent="0.3">
      <c r="B232" s="89"/>
      <c r="D232"/>
      <c r="E232" s="114"/>
      <c r="F232" s="115"/>
      <c r="G232" s="116"/>
      <c r="H232" s="117"/>
      <c r="I232" s="117"/>
      <c r="J232" s="117"/>
      <c r="K232" s="91"/>
      <c r="L232" s="91"/>
      <c r="M232" s="91"/>
      <c r="N232" s="91"/>
      <c r="O232" s="89"/>
      <c r="P232" s="89"/>
    </row>
    <row r="233" spans="2:16" x14ac:dyDescent="0.3">
      <c r="B233" s="89"/>
      <c r="D233"/>
      <c r="E233" s="118"/>
      <c r="F233" s="112"/>
      <c r="G233" s="113"/>
      <c r="H233" s="113"/>
      <c r="I233" s="113"/>
      <c r="J233" s="113"/>
      <c r="K233" s="91"/>
      <c r="L233" s="91"/>
      <c r="M233" s="91"/>
      <c r="N233" s="91"/>
      <c r="O233" s="89"/>
      <c r="P233" s="89"/>
    </row>
    <row r="234" spans="2:16" x14ac:dyDescent="0.3">
      <c r="B234" s="89">
        <v>0</v>
      </c>
      <c r="C234" s="92" t="s">
        <v>164</v>
      </c>
      <c r="D234" s="92"/>
      <c r="E234" s="90"/>
      <c r="F234" s="90"/>
      <c r="G234" s="90"/>
      <c r="H234" s="90"/>
      <c r="I234" s="90"/>
      <c r="J234" s="90"/>
      <c r="K234" s="90"/>
      <c r="L234" s="90"/>
      <c r="M234" s="162"/>
      <c r="N234" s="162"/>
      <c r="O234" s="89"/>
      <c r="P234" s="89"/>
    </row>
    <row r="235" spans="2:16" ht="15" thickBot="1" x14ac:dyDescent="0.35">
      <c r="B235" s="89"/>
      <c r="D235"/>
      <c r="E235" s="91"/>
      <c r="F235" s="91"/>
      <c r="G235" s="91"/>
      <c r="H235" s="91"/>
      <c r="I235" s="91"/>
      <c r="J235" s="91"/>
      <c r="K235" s="91"/>
      <c r="L235" s="91"/>
      <c r="M235" s="91"/>
      <c r="N235" s="91"/>
      <c r="O235" s="89"/>
      <c r="P235" s="89"/>
    </row>
    <row r="236" spans="2:16" x14ac:dyDescent="0.3">
      <c r="B236" s="89"/>
      <c r="C236" t="s">
        <v>165</v>
      </c>
      <c r="D236"/>
      <c r="E236" s="93" t="str">
        <f>D12</f>
        <v xml:space="preserve"> Base case</v>
      </c>
      <c r="F236" s="91"/>
      <c r="G236" s="94" t="s">
        <v>166</v>
      </c>
      <c r="H236" s="33">
        <f>H15</f>
        <v>2020</v>
      </c>
      <c r="I236" s="33">
        <f t="shared" ref="I236:L236" si="124">I15</f>
        <v>2021</v>
      </c>
      <c r="J236" s="33">
        <f t="shared" si="124"/>
        <v>2022</v>
      </c>
      <c r="K236" s="33">
        <f t="shared" si="124"/>
        <v>2023</v>
      </c>
      <c r="L236" s="33">
        <f t="shared" si="124"/>
        <v>2024</v>
      </c>
      <c r="M236" s="33"/>
      <c r="N236" s="33"/>
      <c r="O236" s="89"/>
      <c r="P236" s="89"/>
    </row>
    <row r="237" spans="2:16" x14ac:dyDescent="0.3">
      <c r="B237" s="89"/>
      <c r="D237"/>
      <c r="E237" s="91"/>
      <c r="F237" s="91"/>
      <c r="G237" s="95" t="s">
        <v>159</v>
      </c>
      <c r="H237" s="31">
        <f>H16</f>
        <v>44104</v>
      </c>
      <c r="I237" s="31">
        <f t="shared" ref="I237:L237" si="125">I16</f>
        <v>44469</v>
      </c>
      <c r="J237" s="31">
        <f t="shared" si="125"/>
        <v>44834</v>
      </c>
      <c r="K237" s="31">
        <f t="shared" si="125"/>
        <v>45199</v>
      </c>
      <c r="L237" s="31">
        <f t="shared" si="125"/>
        <v>45565</v>
      </c>
      <c r="M237" s="155"/>
      <c r="N237" s="155"/>
      <c r="O237" s="89"/>
      <c r="P237" s="89"/>
    </row>
    <row r="238" spans="2:16" x14ac:dyDescent="0.3">
      <c r="B238" s="89"/>
      <c r="C238" t="s">
        <v>33</v>
      </c>
      <c r="D238"/>
      <c r="E238" s="91"/>
      <c r="F238" s="91"/>
      <c r="G238" s="123" t="str">
        <f t="shared" ref="G238:L243" ca="1" si="126">OFFSET(G$245,MATCH($D$12,$C$246:$C$248,0)+MATCH($C238,$C$245:$C$268,0)-1,0)</f>
        <v>NM</v>
      </c>
      <c r="H238" s="96">
        <f t="shared" ca="1" si="126"/>
        <v>-4.7457664112652731E-2</v>
      </c>
      <c r="I238" s="96">
        <f t="shared" ca="1" si="126"/>
        <v>4.8959559335073566E-2</v>
      </c>
      <c r="J238" s="96">
        <f t="shared" ca="1" si="126"/>
        <v>4.9103676778599281E-2</v>
      </c>
      <c r="K238" s="96">
        <f t="shared" ca="1" si="126"/>
        <v>5.452648664310078E-2</v>
      </c>
      <c r="L238" s="96">
        <f t="shared" ca="1" si="126"/>
        <v>6.0248763393349503E-2</v>
      </c>
      <c r="M238" s="217"/>
      <c r="N238" s="217"/>
      <c r="O238" s="89"/>
    </row>
    <row r="239" spans="2:16" x14ac:dyDescent="0.3">
      <c r="B239" s="89"/>
      <c r="C239" t="s">
        <v>219</v>
      </c>
      <c r="D239"/>
      <c r="E239" s="91"/>
      <c r="F239" s="91"/>
      <c r="G239" s="151" t="str">
        <f t="shared" ca="1" si="126"/>
        <v>NM</v>
      </c>
      <c r="H239" s="148">
        <f t="shared" ca="1" si="126"/>
        <v>173700</v>
      </c>
      <c r="I239" s="148">
        <f t="shared" ca="1" si="126"/>
        <v>190880</v>
      </c>
      <c r="J239" s="148">
        <f t="shared" ca="1" si="126"/>
        <v>190880</v>
      </c>
      <c r="K239" s="148">
        <f t="shared" ca="1" si="126"/>
        <v>190880</v>
      </c>
      <c r="L239" s="148">
        <f t="shared" ca="1" si="126"/>
        <v>190880</v>
      </c>
      <c r="M239" s="218"/>
      <c r="N239" s="218"/>
      <c r="O239" s="89"/>
    </row>
    <row r="240" spans="2:16" x14ac:dyDescent="0.3">
      <c r="B240" s="89"/>
      <c r="C240" t="s">
        <v>220</v>
      </c>
      <c r="D240"/>
      <c r="E240" s="91"/>
      <c r="F240" s="91"/>
      <c r="G240" s="151" t="str">
        <f t="shared" ca="1" si="126"/>
        <v>NM</v>
      </c>
      <c r="H240" s="148">
        <f t="shared" ca="1" si="126"/>
        <v>792</v>
      </c>
      <c r="I240" s="148">
        <f t="shared" ca="1" si="126"/>
        <v>725</v>
      </c>
      <c r="J240" s="148">
        <f t="shared" ca="1" si="126"/>
        <v>725</v>
      </c>
      <c r="K240" s="148">
        <f t="shared" ca="1" si="126"/>
        <v>725</v>
      </c>
      <c r="L240" s="148">
        <f t="shared" ca="1" si="126"/>
        <v>725</v>
      </c>
      <c r="M240" s="218"/>
      <c r="N240" s="218"/>
      <c r="O240" s="89"/>
    </row>
    <row r="241" spans="2:16" x14ac:dyDescent="0.3">
      <c r="B241" s="89"/>
      <c r="C241" t="s">
        <v>32</v>
      </c>
      <c r="D241"/>
      <c r="E241" s="91"/>
      <c r="F241" s="91"/>
      <c r="G241" s="124" t="str">
        <f t="shared" ca="1" si="126"/>
        <v>NM</v>
      </c>
      <c r="H241" s="96">
        <f t="shared" ca="1" si="126"/>
        <v>0.378</v>
      </c>
      <c r="I241" s="96">
        <f t="shared" ca="1" si="126"/>
        <v>0.38</v>
      </c>
      <c r="J241" s="96">
        <f t="shared" ca="1" si="126"/>
        <v>0.38200000000000001</v>
      </c>
      <c r="K241" s="96">
        <f t="shared" ca="1" si="126"/>
        <v>0.38200000000000001</v>
      </c>
      <c r="L241" s="96">
        <f t="shared" ca="1" si="126"/>
        <v>0.38200000000000001</v>
      </c>
      <c r="M241" s="217"/>
      <c r="N241" s="217"/>
      <c r="O241" s="89"/>
    </row>
    <row r="242" spans="2:16" x14ac:dyDescent="0.3">
      <c r="B242" s="89"/>
      <c r="C242" t="s">
        <v>31</v>
      </c>
      <c r="D242"/>
      <c r="E242" s="91"/>
      <c r="F242" s="91"/>
      <c r="G242" s="124" t="str">
        <f t="shared" ca="1" si="126"/>
        <v>NM</v>
      </c>
      <c r="H242" s="96">
        <f t="shared" ca="1" si="126"/>
        <v>6.2E-2</v>
      </c>
      <c r="I242" s="96">
        <f t="shared" ca="1" si="126"/>
        <v>6.3E-2</v>
      </c>
      <c r="J242" s="96">
        <f t="shared" ca="1" si="126"/>
        <v>6.3E-2</v>
      </c>
      <c r="K242" s="96">
        <f t="shared" ca="1" si="126"/>
        <v>6.3E-2</v>
      </c>
      <c r="L242" s="96">
        <f t="shared" ca="1" si="126"/>
        <v>6.3E-2</v>
      </c>
      <c r="M242" s="217"/>
      <c r="N242" s="217"/>
      <c r="O242" s="89"/>
    </row>
    <row r="243" spans="2:16" x14ac:dyDescent="0.3">
      <c r="B243" s="89"/>
      <c r="C243" t="s">
        <v>30</v>
      </c>
      <c r="D243"/>
      <c r="E243" s="91"/>
      <c r="F243" s="91"/>
      <c r="G243" s="124" t="str">
        <f t="shared" ca="1" si="126"/>
        <v>NM</v>
      </c>
      <c r="H243" s="96">
        <f t="shared" ca="1" si="126"/>
        <v>7.3999999999999996E-2</v>
      </c>
      <c r="I243" s="96">
        <f t="shared" ca="1" si="126"/>
        <v>6.9000000000000006E-2</v>
      </c>
      <c r="J243" s="96">
        <f t="shared" ca="1" si="126"/>
        <v>6.9000000000000006E-2</v>
      </c>
      <c r="K243" s="96">
        <f t="shared" ca="1" si="126"/>
        <v>6.9000000000000006E-2</v>
      </c>
      <c r="L243" s="96">
        <f t="shared" ca="1" si="126"/>
        <v>6.9000000000000006E-2</v>
      </c>
      <c r="M243" s="217"/>
      <c r="N243" s="217"/>
      <c r="O243" s="89"/>
    </row>
    <row r="244" spans="2:16" x14ac:dyDescent="0.3">
      <c r="B244" s="89"/>
      <c r="D244"/>
      <c r="E244" s="91"/>
      <c r="F244" s="91"/>
      <c r="G244" s="97"/>
      <c r="H244" s="98"/>
      <c r="I244"/>
      <c r="J244"/>
      <c r="K244" s="98"/>
      <c r="L244" s="98"/>
      <c r="M244" s="98"/>
      <c r="N244" s="98"/>
      <c r="O244" s="89"/>
      <c r="P244" s="89"/>
    </row>
    <row r="245" spans="2:16" x14ac:dyDescent="0.3">
      <c r="B245" s="89"/>
      <c r="C245" s="22" t="s">
        <v>33</v>
      </c>
      <c r="D245" s="22"/>
      <c r="E245" s="91"/>
      <c r="F245" s="91"/>
      <c r="G245" s="97"/>
      <c r="H245" s="91"/>
      <c r="I245" s="91"/>
      <c r="J245" s="122"/>
      <c r="K245" s="91"/>
      <c r="L245" s="91"/>
      <c r="M245" s="91"/>
      <c r="N245" s="91"/>
      <c r="O245" s="89"/>
      <c r="P245" s="89"/>
    </row>
    <row r="246" spans="2:16" x14ac:dyDescent="0.3">
      <c r="B246" s="89"/>
      <c r="C246" t="s">
        <v>167</v>
      </c>
      <c r="D246"/>
      <c r="E246" s="91"/>
      <c r="F246" s="91"/>
      <c r="G246" s="99">
        <v>2.5000000000000001E-2</v>
      </c>
      <c r="H246" s="100">
        <f ca="1">$G$246+H247</f>
        <v>-2.245766411265273E-2</v>
      </c>
      <c r="I246" s="100">
        <f t="shared" ref="I246:L246" ca="1" si="127">$G$246+I247</f>
        <v>7.395955933507356E-2</v>
      </c>
      <c r="J246" s="100">
        <f t="shared" ca="1" si="127"/>
        <v>7.4103676778599276E-2</v>
      </c>
      <c r="K246" s="100">
        <f t="shared" ca="1" si="127"/>
        <v>7.9526486643100774E-2</v>
      </c>
      <c r="L246" s="100">
        <f t="shared" ca="1" si="127"/>
        <v>8.5248763393349497E-2</v>
      </c>
      <c r="M246" s="100"/>
      <c r="N246" s="100"/>
      <c r="O246" s="89"/>
      <c r="P246" s="89"/>
    </row>
    <row r="247" spans="2:16" x14ac:dyDescent="0.3">
      <c r="B247" s="89"/>
      <c r="C247" t="s">
        <v>168</v>
      </c>
      <c r="D247"/>
      <c r="E247" s="91"/>
      <c r="F247" s="91"/>
      <c r="G247" s="99" t="s">
        <v>195</v>
      </c>
      <c r="H247" s="145">
        <f ca="1">'Revenues build-up'!G14</f>
        <v>-4.7457664112652731E-2</v>
      </c>
      <c r="I247" s="145">
        <f ca="1">'Revenues build-up'!H14</f>
        <v>4.8959559335073566E-2</v>
      </c>
      <c r="J247" s="145">
        <f ca="1">'Revenues build-up'!I14</f>
        <v>4.9103676778599281E-2</v>
      </c>
      <c r="K247" s="145">
        <f ca="1">'Revenues build-up'!J14</f>
        <v>5.452648664310078E-2</v>
      </c>
      <c r="L247" s="145">
        <f ca="1">'Revenues build-up'!K14</f>
        <v>6.0248763393349503E-2</v>
      </c>
      <c r="M247" s="145"/>
      <c r="N247" s="145"/>
      <c r="O247" s="89"/>
      <c r="P247" s="89"/>
    </row>
    <row r="248" spans="2:16" x14ac:dyDescent="0.3">
      <c r="B248" s="89"/>
      <c r="C248" t="s">
        <v>169</v>
      </c>
      <c r="D248"/>
      <c r="E248" s="91"/>
      <c r="F248" s="91"/>
      <c r="G248" s="99">
        <v>-2.5000000000000001E-2</v>
      </c>
      <c r="H248" s="100">
        <f ca="1">$G$248+H247</f>
        <v>-7.2457664112652725E-2</v>
      </c>
      <c r="I248" s="100">
        <f t="shared" ref="I248:L248" ca="1" si="128">$G$248+I247</f>
        <v>2.3959559335073564E-2</v>
      </c>
      <c r="J248" s="100">
        <f t="shared" ca="1" si="128"/>
        <v>2.410367677859928E-2</v>
      </c>
      <c r="K248" s="100">
        <f t="shared" ca="1" si="128"/>
        <v>2.9526486643100779E-2</v>
      </c>
      <c r="L248" s="100">
        <f t="shared" ca="1" si="128"/>
        <v>3.5248763393349501E-2</v>
      </c>
      <c r="M248" s="100"/>
      <c r="N248" s="100"/>
      <c r="O248" s="89"/>
      <c r="P248" s="89"/>
    </row>
    <row r="249" spans="2:16" x14ac:dyDescent="0.3">
      <c r="B249" s="89"/>
      <c r="C249" s="22" t="s">
        <v>219</v>
      </c>
      <c r="D249" s="22"/>
      <c r="E249" s="91"/>
      <c r="F249" s="91"/>
      <c r="G249" s="99"/>
      <c r="H249" s="100"/>
      <c r="I249" s="100"/>
      <c r="J249" s="100"/>
      <c r="K249" s="100"/>
      <c r="L249" s="100"/>
      <c r="M249" s="100"/>
      <c r="N249" s="100"/>
      <c r="O249" s="89"/>
      <c r="P249" s="89"/>
    </row>
    <row r="250" spans="2:16" x14ac:dyDescent="0.3">
      <c r="B250" s="89"/>
      <c r="C250" t="s">
        <v>167</v>
      </c>
      <c r="D250"/>
      <c r="E250" s="91"/>
      <c r="F250" s="91"/>
      <c r="G250" s="149">
        <v>10000</v>
      </c>
      <c r="H250" s="146">
        <f>$G$250+H251</f>
        <v>183700</v>
      </c>
      <c r="I250" s="146">
        <f>$G$250+I251</f>
        <v>200880</v>
      </c>
      <c r="J250" s="146">
        <f>$G$250+J251</f>
        <v>200880</v>
      </c>
      <c r="K250" s="146">
        <f>$G$250+K251</f>
        <v>200880</v>
      </c>
      <c r="L250" s="146">
        <f>$G$250+L251</f>
        <v>200880</v>
      </c>
      <c r="M250" s="146"/>
      <c r="N250" s="146"/>
      <c r="O250" s="89"/>
      <c r="P250" s="89"/>
    </row>
    <row r="251" spans="2:16" x14ac:dyDescent="0.3">
      <c r="B251" s="89"/>
      <c r="C251" t="s">
        <v>168</v>
      </c>
      <c r="D251"/>
      <c r="E251" s="91"/>
      <c r="F251" s="91"/>
      <c r="G251" s="99" t="s">
        <v>195</v>
      </c>
      <c r="H251" s="209">
        <v>173700</v>
      </c>
      <c r="I251" s="209">
        <v>190880</v>
      </c>
      <c r="J251" s="209">
        <v>190880</v>
      </c>
      <c r="K251" s="209">
        <v>190880</v>
      </c>
      <c r="L251" s="209">
        <v>190880</v>
      </c>
      <c r="M251" s="146"/>
      <c r="N251" s="146"/>
      <c r="O251" s="89"/>
      <c r="P251" s="89"/>
    </row>
    <row r="252" spans="2:16" x14ac:dyDescent="0.3">
      <c r="B252" s="89"/>
      <c r="C252" t="s">
        <v>169</v>
      </c>
      <c r="D252"/>
      <c r="E252" s="91"/>
      <c r="F252" s="91"/>
      <c r="G252" s="149">
        <v>-10000</v>
      </c>
      <c r="H252" s="146">
        <f>$G$252+H251</f>
        <v>163700</v>
      </c>
      <c r="I252" s="146">
        <f>$G$252+I251</f>
        <v>180880</v>
      </c>
      <c r="J252" s="146">
        <f>$G$252+J251</f>
        <v>180880</v>
      </c>
      <c r="K252" s="146">
        <f>$G$252+K251</f>
        <v>180880</v>
      </c>
      <c r="L252" s="146">
        <f>$G$252+L251</f>
        <v>180880</v>
      </c>
      <c r="M252" s="146"/>
      <c r="N252" s="146"/>
      <c r="O252" s="89"/>
      <c r="P252" s="89"/>
    </row>
    <row r="253" spans="2:16" x14ac:dyDescent="0.3">
      <c r="B253" s="89"/>
      <c r="C253" s="22" t="s">
        <v>220</v>
      </c>
      <c r="D253" s="22"/>
      <c r="E253" s="91"/>
      <c r="F253" s="91"/>
      <c r="G253" s="99"/>
      <c r="H253" s="100"/>
      <c r="I253" s="100"/>
      <c r="J253" s="100"/>
      <c r="K253" s="100"/>
      <c r="L253" s="100"/>
      <c r="M253" s="100"/>
      <c r="N253" s="100"/>
      <c r="O253" s="89"/>
      <c r="P253" s="89"/>
    </row>
    <row r="254" spans="2:16" x14ac:dyDescent="0.3">
      <c r="B254" s="89"/>
      <c r="C254" t="s">
        <v>167</v>
      </c>
      <c r="D254"/>
      <c r="E254" s="91"/>
      <c r="F254" s="91"/>
      <c r="G254" s="150">
        <v>100</v>
      </c>
      <c r="H254" s="146">
        <f>$G$254+H255</f>
        <v>892</v>
      </c>
      <c r="I254" s="146">
        <f>$G$254+I255</f>
        <v>825</v>
      </c>
      <c r="J254" s="146">
        <f>$G$254+J255</f>
        <v>825</v>
      </c>
      <c r="K254" s="146">
        <f>$G$254+K255</f>
        <v>825</v>
      </c>
      <c r="L254" s="146">
        <f>$G$254+L255</f>
        <v>825</v>
      </c>
      <c r="M254" s="146"/>
      <c r="N254" s="146"/>
      <c r="O254" s="89"/>
      <c r="P254" s="89"/>
    </row>
    <row r="255" spans="2:16" x14ac:dyDescent="0.3">
      <c r="B255" s="89"/>
      <c r="C255" t="s">
        <v>168</v>
      </c>
      <c r="D255"/>
      <c r="E255" s="91"/>
      <c r="F255" s="91"/>
      <c r="G255" s="99" t="s">
        <v>195</v>
      </c>
      <c r="H255" s="210">
        <v>792</v>
      </c>
      <c r="I255" s="210">
        <v>725</v>
      </c>
      <c r="J255" s="210">
        <v>725</v>
      </c>
      <c r="K255" s="210">
        <v>725</v>
      </c>
      <c r="L255" s="210">
        <v>725</v>
      </c>
      <c r="M255" s="147"/>
      <c r="N255" s="147"/>
      <c r="O255" s="89"/>
      <c r="P255" s="89"/>
    </row>
    <row r="256" spans="2:16" x14ac:dyDescent="0.3">
      <c r="B256" s="89"/>
      <c r="C256" t="s">
        <v>169</v>
      </c>
      <c r="D256"/>
      <c r="E256" s="91"/>
      <c r="F256" s="91"/>
      <c r="G256" s="149">
        <v>-100</v>
      </c>
      <c r="H256" s="146">
        <f>$G$256+H255</f>
        <v>692</v>
      </c>
      <c r="I256" s="146">
        <f>$G$256+I255</f>
        <v>625</v>
      </c>
      <c r="J256" s="146">
        <f>$G$256+J255</f>
        <v>625</v>
      </c>
      <c r="K256" s="146">
        <f>$G$256+K255</f>
        <v>625</v>
      </c>
      <c r="L256" s="146">
        <f>$G$256+L255</f>
        <v>625</v>
      </c>
      <c r="M256" s="146"/>
      <c r="N256" s="146"/>
      <c r="O256" s="89"/>
      <c r="P256" s="89"/>
    </row>
    <row r="257" spans="2:16" x14ac:dyDescent="0.3">
      <c r="B257" s="89"/>
      <c r="C257" s="22" t="s">
        <v>32</v>
      </c>
      <c r="D257" s="22"/>
      <c r="E257" s="91"/>
      <c r="F257" s="91"/>
      <c r="G257" s="99"/>
      <c r="H257" s="101"/>
      <c r="I257" s="101"/>
      <c r="J257" s="101"/>
      <c r="K257" s="101"/>
      <c r="L257" s="101"/>
      <c r="M257" s="101"/>
      <c r="N257" s="101"/>
      <c r="O257" s="89"/>
      <c r="P257" s="89"/>
    </row>
    <row r="258" spans="2:16" x14ac:dyDescent="0.3">
      <c r="B258" s="89"/>
      <c r="C258" t="s">
        <v>167</v>
      </c>
      <c r="D258"/>
      <c r="E258" s="91"/>
      <c r="F258" s="91"/>
      <c r="G258" s="99">
        <v>0.01</v>
      </c>
      <c r="H258" s="100">
        <f>$G$258+H259</f>
        <v>0.38800000000000001</v>
      </c>
      <c r="I258" s="100">
        <f>$G$258+I259</f>
        <v>0.39</v>
      </c>
      <c r="J258" s="100">
        <f>$G$258+J259</f>
        <v>0.39200000000000002</v>
      </c>
      <c r="K258" s="100">
        <f>$G$258+K259</f>
        <v>0.39200000000000002</v>
      </c>
      <c r="L258" s="100">
        <f>$G$258+L259</f>
        <v>0.39200000000000002</v>
      </c>
      <c r="M258" s="100"/>
      <c r="N258" s="100"/>
      <c r="O258" s="89"/>
      <c r="P258" s="89"/>
    </row>
    <row r="259" spans="2:16" x14ac:dyDescent="0.3">
      <c r="B259" s="89"/>
      <c r="C259" t="s">
        <v>168</v>
      </c>
      <c r="D259"/>
      <c r="E259" s="91"/>
      <c r="F259" s="91"/>
      <c r="G259" s="99" t="s">
        <v>195</v>
      </c>
      <c r="H259" s="101">
        <v>0.378</v>
      </c>
      <c r="I259" s="101">
        <v>0.38</v>
      </c>
      <c r="J259" s="101">
        <v>0.38200000000000001</v>
      </c>
      <c r="K259" s="101">
        <f>J259</f>
        <v>0.38200000000000001</v>
      </c>
      <c r="L259" s="101">
        <f>K259</f>
        <v>0.38200000000000001</v>
      </c>
      <c r="M259" s="101"/>
      <c r="N259" s="101"/>
      <c r="O259" s="89"/>
      <c r="P259" s="89"/>
    </row>
    <row r="260" spans="2:16" x14ac:dyDescent="0.3">
      <c r="B260" s="89"/>
      <c r="C260" t="s">
        <v>169</v>
      </c>
      <c r="D260"/>
      <c r="E260" s="91"/>
      <c r="F260" s="91"/>
      <c r="G260" s="99">
        <v>-0.01</v>
      </c>
      <c r="H260" s="100">
        <f>$G$260+H259</f>
        <v>0.36799999999999999</v>
      </c>
      <c r="I260" s="100">
        <f>$G$260+I259</f>
        <v>0.37</v>
      </c>
      <c r="J260" s="100">
        <f>$G$260+J259</f>
        <v>0.372</v>
      </c>
      <c r="K260" s="100">
        <f>$G$260+K259</f>
        <v>0.372</v>
      </c>
      <c r="L260" s="100">
        <f>$G$260+L259</f>
        <v>0.372</v>
      </c>
      <c r="M260" s="100"/>
      <c r="N260" s="100"/>
      <c r="O260" s="89"/>
      <c r="P260" s="89"/>
    </row>
    <row r="261" spans="2:16" x14ac:dyDescent="0.3">
      <c r="B261" s="89"/>
      <c r="C261" s="22" t="s">
        <v>31</v>
      </c>
      <c r="D261" s="22"/>
      <c r="E261" s="91"/>
      <c r="F261" s="91"/>
      <c r="G261" s="99"/>
      <c r="H261" s="101"/>
      <c r="I261" s="101"/>
      <c r="J261" s="101"/>
      <c r="K261" s="101"/>
      <c r="L261" s="101"/>
      <c r="M261" s="101"/>
      <c r="N261" s="101"/>
      <c r="O261" s="89"/>
      <c r="P261" s="89"/>
    </row>
    <row r="262" spans="2:16" x14ac:dyDescent="0.3">
      <c r="B262" s="89"/>
      <c r="C262" t="s">
        <v>167</v>
      </c>
      <c r="D262"/>
      <c r="E262" s="91"/>
      <c r="F262" s="91"/>
      <c r="G262" s="99">
        <v>-0.01</v>
      </c>
      <c r="H262" s="100">
        <f>$G$262+H263</f>
        <v>5.1999999999999998E-2</v>
      </c>
      <c r="I262" s="100">
        <f>$G$262+I263</f>
        <v>5.2999999999999999E-2</v>
      </c>
      <c r="J262" s="100">
        <f>$G$262+J263</f>
        <v>5.2999999999999999E-2</v>
      </c>
      <c r="K262" s="100">
        <f>$G$262+K263</f>
        <v>5.2999999999999999E-2</v>
      </c>
      <c r="L262" s="100">
        <f>$G$262+L263</f>
        <v>5.2999999999999999E-2</v>
      </c>
      <c r="M262" s="100"/>
      <c r="N262" s="100"/>
      <c r="O262" s="89"/>
      <c r="P262" s="89"/>
    </row>
    <row r="263" spans="2:16" x14ac:dyDescent="0.3">
      <c r="B263" s="89"/>
      <c r="C263" t="s">
        <v>168</v>
      </c>
      <c r="D263"/>
      <c r="E263" s="91"/>
      <c r="F263" s="91"/>
      <c r="G263" s="99" t="s">
        <v>195</v>
      </c>
      <c r="H263" s="101">
        <v>6.2E-2</v>
      </c>
      <c r="I263" s="101">
        <v>6.3E-2</v>
      </c>
      <c r="J263" s="101">
        <v>6.3E-2</v>
      </c>
      <c r="K263" s="100">
        <f>J263</f>
        <v>6.3E-2</v>
      </c>
      <c r="L263" s="100">
        <f>K263</f>
        <v>6.3E-2</v>
      </c>
      <c r="M263" s="100"/>
      <c r="N263" s="100"/>
      <c r="O263" s="89"/>
      <c r="P263" s="89"/>
    </row>
    <row r="264" spans="2:16" x14ac:dyDescent="0.3">
      <c r="B264" s="89"/>
      <c r="C264" t="s">
        <v>169</v>
      </c>
      <c r="D264"/>
      <c r="E264" s="91"/>
      <c r="F264" s="91"/>
      <c r="G264" s="99">
        <v>0.01</v>
      </c>
      <c r="H264" s="100">
        <f>$G$264+H263</f>
        <v>7.1999999999999995E-2</v>
      </c>
      <c r="I264" s="100">
        <f>$G$264+I263</f>
        <v>7.2999999999999995E-2</v>
      </c>
      <c r="J264" s="100">
        <f>$G$264+J263</f>
        <v>7.2999999999999995E-2</v>
      </c>
      <c r="K264" s="100">
        <f>$G$264+K263</f>
        <v>7.2999999999999995E-2</v>
      </c>
      <c r="L264" s="100">
        <f>$G$264+L263</f>
        <v>7.2999999999999995E-2</v>
      </c>
      <c r="M264" s="100"/>
      <c r="N264" s="100"/>
      <c r="O264" s="89"/>
      <c r="P264" s="89"/>
    </row>
    <row r="265" spans="2:16" x14ac:dyDescent="0.3">
      <c r="B265" s="89"/>
      <c r="C265" s="22" t="s">
        <v>30</v>
      </c>
      <c r="D265" s="22"/>
      <c r="E265" s="91"/>
      <c r="F265" s="91"/>
      <c r="G265" s="99"/>
      <c r="H265" s="101"/>
      <c r="I265" s="101"/>
      <c r="J265" s="101"/>
      <c r="K265" s="101"/>
      <c r="L265" s="101"/>
      <c r="M265" s="101"/>
      <c r="N265" s="101"/>
      <c r="O265" s="89"/>
      <c r="P265" s="89"/>
    </row>
    <row r="266" spans="2:16" x14ac:dyDescent="0.3">
      <c r="B266" s="89"/>
      <c r="C266" t="s">
        <v>167</v>
      </c>
      <c r="D266"/>
      <c r="E266" s="91"/>
      <c r="F266" s="91"/>
      <c r="G266" s="99">
        <v>-0.01</v>
      </c>
      <c r="H266" s="100">
        <f>$G$266+H267</f>
        <v>6.4000000000000001E-2</v>
      </c>
      <c r="I266" s="100">
        <f>$G$266+I267</f>
        <v>5.9000000000000004E-2</v>
      </c>
      <c r="J266" s="100">
        <f>$G$266+J267</f>
        <v>5.9000000000000004E-2</v>
      </c>
      <c r="K266" s="100">
        <f>$G$266+K267</f>
        <v>5.9000000000000004E-2</v>
      </c>
      <c r="L266" s="100">
        <f>$G$266+L267</f>
        <v>5.9000000000000004E-2</v>
      </c>
      <c r="M266" s="100"/>
      <c r="N266" s="100"/>
      <c r="O266" s="89"/>
      <c r="P266" s="89"/>
    </row>
    <row r="267" spans="2:16" x14ac:dyDescent="0.3">
      <c r="B267" s="89"/>
      <c r="C267" t="s">
        <v>168</v>
      </c>
      <c r="D267"/>
      <c r="E267" s="91"/>
      <c r="F267" s="91"/>
      <c r="G267" s="99" t="s">
        <v>195</v>
      </c>
      <c r="H267" s="101">
        <v>7.3999999999999996E-2</v>
      </c>
      <c r="I267" s="101">
        <v>6.9000000000000006E-2</v>
      </c>
      <c r="J267" s="101">
        <v>6.9000000000000006E-2</v>
      </c>
      <c r="K267" s="100">
        <f>J267</f>
        <v>6.9000000000000006E-2</v>
      </c>
      <c r="L267" s="100">
        <f>K267</f>
        <v>6.9000000000000006E-2</v>
      </c>
      <c r="M267" s="100"/>
      <c r="N267" s="100"/>
      <c r="O267" s="89"/>
      <c r="P267" s="89"/>
    </row>
    <row r="268" spans="2:16" ht="15" thickBot="1" x14ac:dyDescent="0.35">
      <c r="B268" s="89"/>
      <c r="C268" t="s">
        <v>169</v>
      </c>
      <c r="D268"/>
      <c r="E268" s="91"/>
      <c r="F268" s="91"/>
      <c r="G268" s="102">
        <v>0.01</v>
      </c>
      <c r="H268" s="100">
        <f>$G$268+H267</f>
        <v>8.3999999999999991E-2</v>
      </c>
      <c r="I268" s="100">
        <f>$G$268+I267</f>
        <v>7.9000000000000001E-2</v>
      </c>
      <c r="J268" s="100">
        <f>$G$268+J267</f>
        <v>7.9000000000000001E-2</v>
      </c>
      <c r="K268" s="100">
        <f>$G$268+K267</f>
        <v>7.9000000000000001E-2</v>
      </c>
      <c r="L268" s="100">
        <f>$G$268+L267</f>
        <v>7.9000000000000001E-2</v>
      </c>
      <c r="M268" s="100"/>
      <c r="N268" s="100"/>
      <c r="O268" s="89"/>
      <c r="P268" s="89"/>
    </row>
    <row r="269" spans="2:16" x14ac:dyDescent="0.3">
      <c r="B269" s="89"/>
      <c r="D269"/>
      <c r="E269" s="91"/>
      <c r="F269" s="91"/>
      <c r="G269" s="91"/>
      <c r="H269" s="91"/>
      <c r="I269" s="91"/>
      <c r="J269" s="91"/>
      <c r="K269" s="91"/>
      <c r="L269" s="91"/>
      <c r="M269" s="91"/>
      <c r="N269" s="91"/>
      <c r="O269" s="89"/>
      <c r="P269" s="89"/>
    </row>
    <row r="270" spans="2:16" x14ac:dyDescent="0.3">
      <c r="B270" s="89"/>
      <c r="D270"/>
      <c r="E270" s="91"/>
      <c r="F270" s="91"/>
      <c r="G270" s="91"/>
      <c r="H270" s="91"/>
      <c r="I270" s="91"/>
      <c r="J270" s="91"/>
      <c r="K270" s="91"/>
      <c r="L270" s="91"/>
      <c r="M270" s="91"/>
      <c r="N270" s="91"/>
      <c r="O270" s="89"/>
      <c r="P270" s="89"/>
    </row>
    <row r="271" spans="2:16" x14ac:dyDescent="0.3">
      <c r="B271" s="89"/>
      <c r="D271"/>
      <c r="E271" s="91"/>
      <c r="F271" s="91"/>
      <c r="G271" s="91"/>
      <c r="H271" s="91"/>
      <c r="I271" s="91"/>
      <c r="J271" s="91"/>
      <c r="K271" s="91"/>
      <c r="L271" s="91"/>
      <c r="M271" s="91"/>
      <c r="N271" s="91"/>
      <c r="O271" s="89"/>
      <c r="P271" s="89"/>
    </row>
    <row r="272" spans="2:16" x14ac:dyDescent="0.3">
      <c r="B272" s="89" t="s">
        <v>82</v>
      </c>
      <c r="C272" s="30" t="s">
        <v>170</v>
      </c>
      <c r="D272" s="30"/>
      <c r="E272" s="90"/>
      <c r="F272" s="90"/>
      <c r="G272" s="90"/>
      <c r="H272" s="90"/>
      <c r="I272" s="90"/>
      <c r="J272" s="90"/>
      <c r="K272" s="90"/>
      <c r="L272" s="90"/>
      <c r="M272" s="162"/>
      <c r="N272" s="162"/>
      <c r="O272" s="89"/>
      <c r="P272" s="89"/>
    </row>
    <row r="273" spans="2:16" x14ac:dyDescent="0.3">
      <c r="B273" s="89"/>
      <c r="C273" t="s">
        <v>171</v>
      </c>
      <c r="D273"/>
      <c r="E273" s="34">
        <f>F273-1</f>
        <v>2017</v>
      </c>
      <c r="F273" s="34">
        <f>G273-1</f>
        <v>2018</v>
      </c>
      <c r="G273" s="34">
        <f>YEAR($D$10)</f>
        <v>2019</v>
      </c>
      <c r="H273" s="33">
        <f>G273+1</f>
        <v>2020</v>
      </c>
      <c r="I273" s="33">
        <f>H273+1</f>
        <v>2021</v>
      </c>
      <c r="J273" s="33">
        <f>I273+1</f>
        <v>2022</v>
      </c>
      <c r="K273" s="33">
        <f>J273+1</f>
        <v>2023</v>
      </c>
      <c r="L273" s="33">
        <f>K273+1</f>
        <v>2024</v>
      </c>
      <c r="M273" s="33"/>
      <c r="N273" s="33"/>
      <c r="O273" s="89"/>
      <c r="P273" s="89"/>
    </row>
    <row r="274" spans="2:16" x14ac:dyDescent="0.3">
      <c r="B274" s="89"/>
      <c r="C274" s="29" t="s">
        <v>172</v>
      </c>
      <c r="D274" s="29"/>
      <c r="E274" s="31">
        <f>EOMONTH(F274,-12)</f>
        <v>43008</v>
      </c>
      <c r="F274" s="31">
        <f t="shared" ref="F274" si="129">EOMONTH(G274,-12)</f>
        <v>43373</v>
      </c>
      <c r="G274" s="31">
        <f>$D$10</f>
        <v>43737</v>
      </c>
      <c r="H274" s="31">
        <f>EOMONTH(G274,12)</f>
        <v>44104</v>
      </c>
      <c r="I274" s="31">
        <f>EOMONTH(H274,12)</f>
        <v>44469</v>
      </c>
      <c r="J274" s="31">
        <f>EOMONTH(I274,12)</f>
        <v>44834</v>
      </c>
      <c r="K274" s="31">
        <f>EOMONTH(J274,12)</f>
        <v>45199</v>
      </c>
      <c r="L274" s="31">
        <f>EOMONTH(K274,12)</f>
        <v>45565</v>
      </c>
      <c r="M274" s="155"/>
      <c r="N274" s="155"/>
      <c r="O274" s="89"/>
      <c r="P274" s="89"/>
    </row>
    <row r="275" spans="2:16" x14ac:dyDescent="0.3">
      <c r="B275" s="89"/>
      <c r="D275"/>
      <c r="E275" s="91"/>
      <c r="F275" s="91"/>
      <c r="G275" s="91"/>
      <c r="H275" s="91"/>
      <c r="I275" s="91"/>
      <c r="J275" s="91"/>
      <c r="K275" s="91"/>
      <c r="L275" s="91"/>
      <c r="M275" s="91"/>
      <c r="N275" s="91"/>
      <c r="O275" s="89"/>
      <c r="P275" s="89"/>
    </row>
    <row r="276" spans="2:16" x14ac:dyDescent="0.3">
      <c r="B276" s="89"/>
      <c r="C276" t="s">
        <v>44</v>
      </c>
      <c r="D276"/>
      <c r="E276" s="103">
        <f t="shared" ref="E276:L276" si="130">E29</f>
        <v>48351</v>
      </c>
      <c r="F276" s="103">
        <f t="shared" si="130"/>
        <v>59531</v>
      </c>
      <c r="G276" s="103">
        <f t="shared" si="130"/>
        <v>55256</v>
      </c>
      <c r="H276" s="103">
        <f t="shared" ca="1" si="130"/>
        <v>51902.821451049014</v>
      </c>
      <c r="I276" s="103">
        <f t="shared" ca="1" si="130"/>
        <v>55016.359543250757</v>
      </c>
      <c r="J276" s="103">
        <f t="shared" ca="1" si="130"/>
        <v>57834.822203334224</v>
      </c>
      <c r="K276" s="103">
        <f t="shared" ca="1" si="130"/>
        <v>60663.874471358533</v>
      </c>
      <c r="L276" s="103">
        <f t="shared" ca="1" si="130"/>
        <v>64097.133649215946</v>
      </c>
      <c r="M276" s="205"/>
      <c r="N276" s="205"/>
      <c r="O276" s="89"/>
      <c r="P276" s="89" t="s">
        <v>173</v>
      </c>
    </row>
    <row r="277" spans="2:16" x14ac:dyDescent="0.3">
      <c r="B277" s="89"/>
      <c r="C277" t="s">
        <v>174</v>
      </c>
      <c r="D277"/>
      <c r="E277" s="129">
        <v>5217.2420000000002</v>
      </c>
      <c r="F277" s="129">
        <v>4955.3770000000004</v>
      </c>
      <c r="G277" s="129">
        <v>4617.8339999999998</v>
      </c>
      <c r="H277" s="103">
        <f ca="1">G277+(H284-H283)/H285</f>
        <v>4330.5075204575733</v>
      </c>
      <c r="I277" s="103">
        <f t="shared" ref="I277:L277" ca="1" si="131">H277+(I284-I283)/I285</f>
        <v>4081.8377665157841</v>
      </c>
      <c r="J277" s="103">
        <f t="shared" ca="1" si="131"/>
        <v>3866.6821031878953</v>
      </c>
      <c r="K277" s="103">
        <f t="shared" ca="1" si="131"/>
        <v>3680.6831647618765</v>
      </c>
      <c r="L277" s="103">
        <f t="shared" ca="1" si="131"/>
        <v>3520.0523399941558</v>
      </c>
      <c r="M277" s="205"/>
      <c r="N277" s="205"/>
      <c r="O277" s="89"/>
      <c r="P277" s="89" t="s">
        <v>197</v>
      </c>
    </row>
    <row r="278" spans="2:16" x14ac:dyDescent="0.3">
      <c r="B278" s="89"/>
      <c r="C278" s="22" t="s">
        <v>175</v>
      </c>
      <c r="D278" s="22"/>
      <c r="E278" s="104">
        <f>E276/E277</f>
        <v>9.2675402061088974</v>
      </c>
      <c r="F278" s="104">
        <f t="shared" ref="F278:L278" si="132">F276/F277</f>
        <v>12.0134149228202</v>
      </c>
      <c r="G278" s="104">
        <f t="shared" si="132"/>
        <v>11.965783092246278</v>
      </c>
      <c r="H278" s="104">
        <f t="shared" ca="1" si="132"/>
        <v>11.985389981626177</v>
      </c>
      <c r="I278" s="104">
        <f t="shared" ca="1" si="132"/>
        <v>13.47833076428517</v>
      </c>
      <c r="J278" s="104">
        <f t="shared" ca="1" si="132"/>
        <v>14.957221892033008</v>
      </c>
      <c r="K278" s="104">
        <f t="shared" ca="1" si="132"/>
        <v>16.481688794119069</v>
      </c>
      <c r="L278" s="104">
        <f t="shared" ca="1" si="132"/>
        <v>18.209142211028137</v>
      </c>
      <c r="M278" s="219"/>
      <c r="N278" s="219"/>
      <c r="O278" s="89"/>
      <c r="P278" s="89" t="s">
        <v>176</v>
      </c>
    </row>
    <row r="279" spans="2:16" x14ac:dyDescent="0.3">
      <c r="B279" s="89"/>
      <c r="D279"/>
      <c r="E279" s="89"/>
      <c r="F279" s="89"/>
      <c r="G279" s="89"/>
      <c r="H279" s="89"/>
      <c r="I279" s="89"/>
      <c r="J279" s="89"/>
      <c r="K279" s="89"/>
      <c r="L279" s="89"/>
      <c r="M279" s="220"/>
      <c r="N279" s="220"/>
      <c r="O279" s="89"/>
      <c r="P279" s="89"/>
    </row>
    <row r="280" spans="2:16" x14ac:dyDescent="0.3">
      <c r="B280" s="89"/>
      <c r="C280" t="s">
        <v>177</v>
      </c>
      <c r="D280"/>
      <c r="E280" s="129">
        <v>5251.692</v>
      </c>
      <c r="F280" s="129">
        <v>5000.1090000000004</v>
      </c>
      <c r="G280" s="129">
        <v>4648.9129999999996</v>
      </c>
      <c r="H280" s="103">
        <f ca="1">G280-G277+H277</f>
        <v>4361.586520457573</v>
      </c>
      <c r="I280" s="103">
        <f t="shared" ref="I280:L280" ca="1" si="133">H280-H277+I277</f>
        <v>4112.9167665157838</v>
      </c>
      <c r="J280" s="103">
        <f t="shared" ca="1" si="133"/>
        <v>3897.7611031878951</v>
      </c>
      <c r="K280" s="103">
        <f t="shared" ca="1" si="133"/>
        <v>3711.7621647618762</v>
      </c>
      <c r="L280" s="103">
        <f t="shared" ca="1" si="133"/>
        <v>3551.1313399941555</v>
      </c>
      <c r="M280" s="205"/>
      <c r="N280" s="205"/>
      <c r="O280" s="89"/>
      <c r="P280" s="89" t="s">
        <v>178</v>
      </c>
    </row>
    <row r="281" spans="2:16" x14ac:dyDescent="0.3">
      <c r="B281" s="89"/>
      <c r="C281" s="22" t="s">
        <v>179</v>
      </c>
      <c r="D281" s="22"/>
      <c r="E281" s="104">
        <f>E276/E280</f>
        <v>9.2067470826545037</v>
      </c>
      <c r="F281" s="104">
        <f t="shared" ref="F281:L281" si="134">F276/F280</f>
        <v>11.905940450498179</v>
      </c>
      <c r="G281" s="104">
        <f t="shared" si="134"/>
        <v>11.885789215672569</v>
      </c>
      <c r="H281" s="104">
        <f t="shared" ca="1" si="134"/>
        <v>11.899986669438785</v>
      </c>
      <c r="I281" s="104">
        <f t="shared" ca="1" si="134"/>
        <v>13.376482595308467</v>
      </c>
      <c r="J281" s="104">
        <f t="shared" ca="1" si="134"/>
        <v>14.837959708724162</v>
      </c>
      <c r="K281" s="104">
        <f t="shared" ca="1" si="134"/>
        <v>16.34368576933063</v>
      </c>
      <c r="L281" s="104">
        <f t="shared" ca="1" si="134"/>
        <v>18.049778369876186</v>
      </c>
      <c r="M281" s="219"/>
      <c r="N281" s="219"/>
      <c r="O281" s="89"/>
      <c r="P281" s="89" t="s">
        <v>180</v>
      </c>
    </row>
    <row r="282" spans="2:16" x14ac:dyDescent="0.3">
      <c r="B282" s="89"/>
      <c r="D282"/>
      <c r="E282" s="89"/>
      <c r="F282" s="89"/>
      <c r="G282" s="89"/>
      <c r="H282" s="89"/>
      <c r="I282" s="89"/>
      <c r="J282" s="89"/>
      <c r="K282" s="89"/>
      <c r="L282" s="89"/>
      <c r="M282" s="220"/>
      <c r="N282" s="220"/>
      <c r="O282" s="89"/>
      <c r="P282" s="89"/>
    </row>
    <row r="283" spans="2:16" x14ac:dyDescent="0.3">
      <c r="B283" s="89"/>
      <c r="C283" t="s">
        <v>181</v>
      </c>
      <c r="D283"/>
      <c r="E283" s="89"/>
      <c r="F283" s="89"/>
      <c r="G283" s="89"/>
      <c r="H283" s="103">
        <f>-H183</f>
        <v>67101</v>
      </c>
      <c r="I283" s="103">
        <f>-I183</f>
        <v>67101</v>
      </c>
      <c r="J283" s="103">
        <f>-J183</f>
        <v>67101</v>
      </c>
      <c r="K283" s="103">
        <f>-K183</f>
        <v>67101</v>
      </c>
      <c r="L283" s="103">
        <f>-L183</f>
        <v>67101</v>
      </c>
      <c r="M283" s="205"/>
      <c r="N283" s="205"/>
      <c r="O283" s="89"/>
      <c r="P283" s="89" t="s">
        <v>182</v>
      </c>
    </row>
    <row r="284" spans="2:16" x14ac:dyDescent="0.3">
      <c r="B284" s="89"/>
      <c r="C284" t="s">
        <v>183</v>
      </c>
      <c r="D284"/>
      <c r="E284" s="89"/>
      <c r="F284" s="89"/>
      <c r="G284" s="89"/>
      <c r="H284" s="103">
        <f ca="1">H33</f>
        <v>5900.4598574630818</v>
      </c>
      <c r="I284" s="103">
        <f ca="1">I33</f>
        <v>6189.3437719587655</v>
      </c>
      <c r="J284" s="103">
        <f ca="1">J33</f>
        <v>6493.2633080086653</v>
      </c>
      <c r="K284" s="103">
        <f ca="1">K33</f>
        <v>6847.3181430429358</v>
      </c>
      <c r="L284" s="103">
        <f ca="1">L33</f>
        <v>7259.8605937221191</v>
      </c>
      <c r="M284" s="205"/>
      <c r="N284" s="205"/>
      <c r="O284" s="89"/>
      <c r="P284" s="89" t="s">
        <v>184</v>
      </c>
    </row>
    <row r="285" spans="2:16" x14ac:dyDescent="0.3">
      <c r="B285" s="89"/>
      <c r="C285" t="s">
        <v>185</v>
      </c>
      <c r="D285"/>
      <c r="E285" s="89"/>
      <c r="F285" s="89"/>
      <c r="G285" s="89"/>
      <c r="H285" s="126">
        <v>213</v>
      </c>
      <c r="I285" s="105">
        <f>H285*(1+I286)</f>
        <v>244.95</v>
      </c>
      <c r="J285" s="105">
        <f t="shared" ref="J285:L285" si="135">I285*(1+J286)</f>
        <v>281.69249999999994</v>
      </c>
      <c r="K285" s="105">
        <f t="shared" si="135"/>
        <v>323.94637499999993</v>
      </c>
      <c r="L285" s="105">
        <f t="shared" si="135"/>
        <v>372.53833124999989</v>
      </c>
      <c r="M285" s="221"/>
      <c r="N285" s="221"/>
      <c r="O285" s="89"/>
      <c r="P285" s="89" t="s">
        <v>186</v>
      </c>
    </row>
    <row r="286" spans="2:16" x14ac:dyDescent="0.3">
      <c r="B286" s="89"/>
      <c r="C286" t="s">
        <v>187</v>
      </c>
      <c r="D286"/>
      <c r="E286" s="89"/>
      <c r="F286" s="89"/>
      <c r="G286" s="89"/>
      <c r="H286" s="89"/>
      <c r="I286" s="127">
        <v>0.15</v>
      </c>
      <c r="J286" s="127">
        <v>0.15</v>
      </c>
      <c r="K286" s="127">
        <v>0.15</v>
      </c>
      <c r="L286" s="127">
        <v>0.15</v>
      </c>
      <c r="M286" s="127"/>
      <c r="N286" s="127"/>
      <c r="O286" s="89"/>
      <c r="P286" s="89" t="s">
        <v>188</v>
      </c>
    </row>
    <row r="287" spans="2:16" x14ac:dyDescent="0.3">
      <c r="B287" s="89"/>
      <c r="D287"/>
      <c r="E287"/>
      <c r="F287" s="89"/>
      <c r="G287" s="89"/>
      <c r="H287" s="89"/>
      <c r="I287" s="89"/>
      <c r="J287" s="89"/>
      <c r="K287" s="89"/>
      <c r="L287" s="89"/>
      <c r="M287" s="89"/>
      <c r="N287" s="89"/>
      <c r="O287" s="89"/>
      <c r="P287" s="89"/>
    </row>
    <row r="288" spans="2:16" x14ac:dyDescent="0.3">
      <c r="B288" s="89"/>
      <c r="C288" s="22" t="s">
        <v>189</v>
      </c>
      <c r="D288"/>
      <c r="E288"/>
      <c r="F288" s="89"/>
      <c r="G288" s="89"/>
      <c r="H288" s="106">
        <f>D11/1000</f>
        <v>0</v>
      </c>
      <c r="I288" s="106">
        <f ca="1">H290</f>
        <v>-287.32647954242685</v>
      </c>
      <c r="J288" s="106">
        <f t="shared" ref="J288:L288" ca="1" si="136">I290</f>
        <v>-535.99623348421596</v>
      </c>
      <c r="K288" s="106">
        <f t="shared" ca="1" si="136"/>
        <v>-751.15189681210484</v>
      </c>
      <c r="L288" s="106">
        <f t="shared" ca="1" si="136"/>
        <v>-937.15083523812382</v>
      </c>
      <c r="M288" s="106"/>
      <c r="N288" s="106"/>
      <c r="O288" s="89"/>
      <c r="P288" s="89"/>
    </row>
    <row r="289" spans="2:16" x14ac:dyDescent="0.3">
      <c r="B289" s="89"/>
      <c r="C289" t="s">
        <v>190</v>
      </c>
      <c r="D289"/>
      <c r="E289"/>
      <c r="F289" s="89"/>
      <c r="G289" s="89"/>
      <c r="H289" s="89">
        <f ca="1">(-H283+H284)/H285</f>
        <v>-287.32647954242685</v>
      </c>
      <c r="I289" s="89">
        <f ca="1">(-I283+I284)/I285</f>
        <v>-248.66975394178908</v>
      </c>
      <c r="J289" s="89">
        <f ca="1">(-J283+J284)/J285</f>
        <v>-215.1556633278889</v>
      </c>
      <c r="K289" s="89">
        <f ca="1">(-K283+K284)/K285</f>
        <v>-185.99893842601904</v>
      </c>
      <c r="L289" s="89">
        <f ca="1">(-L283+L284)/L285</f>
        <v>-160.63082476772087</v>
      </c>
      <c r="M289" s="89"/>
      <c r="N289" s="89"/>
      <c r="O289" s="89"/>
      <c r="P289" s="89"/>
    </row>
    <row r="290" spans="2:16" x14ac:dyDescent="0.3">
      <c r="B290" s="89"/>
      <c r="C290" t="s">
        <v>191</v>
      </c>
      <c r="D290"/>
      <c r="E290"/>
      <c r="F290" s="89"/>
      <c r="G290" s="89"/>
      <c r="H290" s="128">
        <f ca="1">SUM(H288:H289)</f>
        <v>-287.32647954242685</v>
      </c>
      <c r="I290" s="128">
        <f t="shared" ref="I290:L290" ca="1" si="137">SUM(I288:I289)</f>
        <v>-535.99623348421596</v>
      </c>
      <c r="J290" s="128">
        <f t="shared" ca="1" si="137"/>
        <v>-751.15189681210484</v>
      </c>
      <c r="K290" s="128">
        <f t="shared" ca="1" si="137"/>
        <v>-937.15083523812382</v>
      </c>
      <c r="L290" s="128">
        <f t="shared" ca="1" si="137"/>
        <v>-1097.7816600058447</v>
      </c>
      <c r="M290" s="128"/>
      <c r="N290" s="128"/>
      <c r="O290" s="89"/>
      <c r="P290" s="89"/>
    </row>
    <row r="291" spans="2:16" x14ac:dyDescent="0.3">
      <c r="B291" s="89"/>
      <c r="C291" s="22" t="s">
        <v>192</v>
      </c>
      <c r="D291"/>
      <c r="E291"/>
      <c r="F291" s="89"/>
      <c r="G291" s="89"/>
      <c r="H291" s="50">
        <f ca="1">AVERAGE(H288,H290)</f>
        <v>-143.66323977121343</v>
      </c>
      <c r="I291" s="50">
        <f t="shared" ref="I291:L291" ca="1" si="138">AVERAGE(I288,I290)</f>
        <v>-411.66135651332138</v>
      </c>
      <c r="J291" s="50">
        <f t="shared" ca="1" si="138"/>
        <v>-643.57406514816034</v>
      </c>
      <c r="K291" s="50">
        <f t="shared" ca="1" si="138"/>
        <v>-844.15136602511438</v>
      </c>
      <c r="L291" s="50">
        <f t="shared" ca="1" si="138"/>
        <v>-1017.4662476219843</v>
      </c>
      <c r="M291" s="50"/>
      <c r="N291" s="50"/>
      <c r="O291" s="89"/>
      <c r="P291" s="89"/>
    </row>
    <row r="292" spans="2:16" x14ac:dyDescent="0.3">
      <c r="D292"/>
      <c r="E292"/>
      <c r="N292" s="5"/>
    </row>
    <row r="293" spans="2:16" x14ac:dyDescent="0.3">
      <c r="D293"/>
      <c r="E293"/>
      <c r="N293" s="5"/>
    </row>
    <row r="294" spans="2:16" x14ac:dyDescent="0.3">
      <c r="D294"/>
      <c r="E294"/>
    </row>
    <row r="295" spans="2:16" x14ac:dyDescent="0.3">
      <c r="D295"/>
      <c r="E295"/>
    </row>
    <row r="296" spans="2:16" x14ac:dyDescent="0.3">
      <c r="D296"/>
      <c r="E296"/>
    </row>
    <row r="297" spans="2:16" x14ac:dyDescent="0.3">
      <c r="D297"/>
      <c r="E297"/>
    </row>
    <row r="298" spans="2:16" x14ac:dyDescent="0.3">
      <c r="D298"/>
      <c r="E298"/>
    </row>
    <row r="324" spans="22:22" x14ac:dyDescent="0.3">
      <c r="V324" s="222" t="e">
        <f>AVERAGE(V307:V318)</f>
        <v>#DIV/0!</v>
      </c>
    </row>
  </sheetData>
  <mergeCells count="4">
    <mergeCell ref="F98:G98"/>
    <mergeCell ref="H98:L98"/>
    <mergeCell ref="F226:J226"/>
    <mergeCell ref="H14:L14"/>
  </mergeCells>
  <conditionalFormatting sqref="C40:G40">
    <cfRule type="expression" dxfId="0" priority="1">
      <formula>#REF!=$C40</formula>
    </cfRule>
  </conditionalFormatting>
  <dataValidations disablePrompts="1" count="4">
    <dataValidation type="list" allowBlank="1" showInputMessage="1" showErrorMessage="1" sqref="F161" xr:uid="{F31A223B-11EC-4D34-BF94-34DB8A0742FC}">
      <formula1>"0.5,1"</formula1>
    </dataValidation>
    <dataValidation type="list" allowBlank="1" showInputMessage="1" showErrorMessage="1" sqref="H105 H115" xr:uid="{44D464BC-93C9-4847-A0F7-6AEE63D1A222}">
      <formula1>"1,2"</formula1>
    </dataValidation>
    <dataValidation type="list" allowBlank="1" showInputMessage="1" showErrorMessage="1" sqref="D12" xr:uid="{E1F11AE4-B625-4699-B78C-EE856824777C}">
      <formula1>$C$246:$C$248</formula1>
    </dataValidation>
    <dataValidation type="list" allowBlank="1" showInputMessage="1" showErrorMessage="1" sqref="D7" xr:uid="{7DDFA968-4858-43D4-A303-0A1FD2404AEB}">
      <formula1>"1,0"</formula1>
    </dataValidation>
  </dataValidations>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3CDFE-0939-4EF0-AEF4-FF3BC8612633}">
  <dimension ref="C2:O41"/>
  <sheetViews>
    <sheetView topLeftCell="A6" workbookViewId="0">
      <selection activeCell="G21" sqref="G21"/>
    </sheetView>
  </sheetViews>
  <sheetFormatPr defaultRowHeight="14.4" x14ac:dyDescent="0.3"/>
  <cols>
    <col min="1" max="2" width="1.77734375" customWidth="1"/>
    <col min="3" max="3" width="28.6640625" bestFit="1" customWidth="1"/>
    <col min="4" max="12" width="8.77734375" customWidth="1"/>
    <col min="13" max="13" width="1.77734375" customWidth="1"/>
  </cols>
  <sheetData>
    <row r="2" spans="3:15" x14ac:dyDescent="0.3">
      <c r="C2" s="30" t="s">
        <v>199</v>
      </c>
      <c r="D2" s="30"/>
      <c r="E2" s="29"/>
      <c r="F2" s="29"/>
      <c r="G2" s="29"/>
      <c r="H2" s="29"/>
      <c r="I2" s="29"/>
      <c r="J2" s="29"/>
      <c r="K2" s="29"/>
      <c r="L2" s="29"/>
      <c r="O2" t="s">
        <v>217</v>
      </c>
    </row>
    <row r="3" spans="3:15" x14ac:dyDescent="0.3">
      <c r="C3" t="s">
        <v>69</v>
      </c>
      <c r="D3" s="34">
        <f t="shared" ref="D3:E3" si="0">E3-1</f>
        <v>2016</v>
      </c>
      <c r="E3" s="34">
        <f t="shared" si="0"/>
        <v>2017</v>
      </c>
      <c r="F3" s="34">
        <f>G3-1</f>
        <v>2018</v>
      </c>
      <c r="G3" s="34">
        <f>YEAR('FSM-2019 update'!D10)</f>
        <v>2019</v>
      </c>
      <c r="H3" s="33">
        <f>G3+1</f>
        <v>2020</v>
      </c>
      <c r="I3" s="33">
        <f t="shared" ref="I3:L3" si="1">H3+1</f>
        <v>2021</v>
      </c>
      <c r="J3" s="33">
        <f t="shared" si="1"/>
        <v>2022</v>
      </c>
      <c r="K3" s="33">
        <f t="shared" si="1"/>
        <v>2023</v>
      </c>
      <c r="L3" s="33">
        <f t="shared" si="1"/>
        <v>2024</v>
      </c>
      <c r="O3" t="s">
        <v>218</v>
      </c>
    </row>
    <row r="4" spans="3:15" x14ac:dyDescent="0.3">
      <c r="C4" s="32" t="s">
        <v>68</v>
      </c>
      <c r="D4" s="31">
        <f t="shared" ref="D4:E4" si="2">EOMONTH(E4,-12)</f>
        <v>42643</v>
      </c>
      <c r="E4" s="31">
        <f t="shared" si="2"/>
        <v>43008</v>
      </c>
      <c r="F4" s="31">
        <f>EOMONTH(G4,-12)</f>
        <v>43373</v>
      </c>
      <c r="G4" s="31">
        <f>'FSM-2019 update'!D10</f>
        <v>43737</v>
      </c>
      <c r="H4" s="31">
        <f>EOMONTH(G4,12)</f>
        <v>44104</v>
      </c>
      <c r="I4" s="31">
        <f t="shared" ref="I4:L4" si="3">EOMONTH(H4,12)</f>
        <v>44469</v>
      </c>
      <c r="J4" s="31">
        <f t="shared" si="3"/>
        <v>44834</v>
      </c>
      <c r="K4" s="31">
        <f t="shared" si="3"/>
        <v>45199</v>
      </c>
      <c r="L4" s="31">
        <f t="shared" si="3"/>
        <v>45565</v>
      </c>
    </row>
    <row r="5" spans="3:15" x14ac:dyDescent="0.3">
      <c r="C5" s="22" t="s">
        <v>200</v>
      </c>
      <c r="D5" s="22"/>
    </row>
    <row r="6" spans="3:15" x14ac:dyDescent="0.3">
      <c r="C6" s="21" t="s">
        <v>201</v>
      </c>
      <c r="D6" s="21"/>
    </row>
    <row r="7" spans="3:15" x14ac:dyDescent="0.3">
      <c r="C7" t="s">
        <v>202</v>
      </c>
      <c r="D7" s="140">
        <v>136700</v>
      </c>
      <c r="E7" s="140">
        <v>141319</v>
      </c>
      <c r="F7" s="140">
        <v>166699</v>
      </c>
      <c r="G7" s="140">
        <v>142381</v>
      </c>
      <c r="H7" s="131">
        <f ca="1">H17*H22/1000</f>
        <v>137570.4</v>
      </c>
      <c r="I7" s="131">
        <f t="shared" ref="I7:L7" ca="1" si="4">I17*I22/1000</f>
        <v>138388</v>
      </c>
      <c r="J7" s="131">
        <f t="shared" ca="1" si="4"/>
        <v>138388</v>
      </c>
      <c r="K7" s="131">
        <f t="shared" ca="1" si="4"/>
        <v>138388</v>
      </c>
      <c r="L7" s="131">
        <f t="shared" ca="1" si="4"/>
        <v>138388</v>
      </c>
    </row>
    <row r="8" spans="3:15" x14ac:dyDescent="0.3">
      <c r="C8" t="s">
        <v>203</v>
      </c>
      <c r="D8" s="140">
        <v>20628</v>
      </c>
      <c r="E8" s="140">
        <v>19222</v>
      </c>
      <c r="F8" s="140">
        <v>18805</v>
      </c>
      <c r="G8" s="140">
        <v>21280</v>
      </c>
      <c r="H8" s="131">
        <f t="shared" ref="H8:L9" si="5">H18*H23/1000</f>
        <v>20222.921699999999</v>
      </c>
      <c r="I8" s="131">
        <f t="shared" si="5"/>
        <v>20475.904200000001</v>
      </c>
      <c r="J8" s="131">
        <f t="shared" si="5"/>
        <v>20475.904200000001</v>
      </c>
      <c r="K8" s="131">
        <f t="shared" si="5"/>
        <v>20475.904200000001</v>
      </c>
      <c r="L8" s="131">
        <f t="shared" si="5"/>
        <v>20475.904200000001</v>
      </c>
    </row>
    <row r="9" spans="3:15" x14ac:dyDescent="0.3">
      <c r="C9" t="s">
        <v>204</v>
      </c>
      <c r="D9" s="140">
        <v>22831</v>
      </c>
      <c r="E9" s="140">
        <v>25850</v>
      </c>
      <c r="F9" s="140">
        <v>25484</v>
      </c>
      <c r="G9" s="140">
        <v>25740</v>
      </c>
      <c r="H9" s="131">
        <f t="shared" si="5"/>
        <v>26515.16</v>
      </c>
      <c r="I9" s="131">
        <f t="shared" si="5"/>
        <v>26642.880000000001</v>
      </c>
      <c r="J9" s="131">
        <f t="shared" si="5"/>
        <v>26642.880000000001</v>
      </c>
      <c r="K9" s="131">
        <f t="shared" si="5"/>
        <v>26642.880000000001</v>
      </c>
      <c r="L9" s="131">
        <f t="shared" si="5"/>
        <v>26642.880000000001</v>
      </c>
    </row>
    <row r="10" spans="3:15" x14ac:dyDescent="0.3">
      <c r="E10" s="91"/>
      <c r="F10" s="91"/>
      <c r="G10" s="91"/>
      <c r="H10" s="91"/>
      <c r="I10" s="91"/>
      <c r="J10" s="91"/>
      <c r="K10" s="91"/>
      <c r="L10" s="91"/>
    </row>
    <row r="11" spans="3:15" x14ac:dyDescent="0.3">
      <c r="C11" t="s">
        <v>205</v>
      </c>
      <c r="D11" s="140">
        <v>24348</v>
      </c>
      <c r="E11" s="140">
        <v>29980</v>
      </c>
      <c r="F11" s="140">
        <v>37190</v>
      </c>
      <c r="G11" s="140">
        <v>46291</v>
      </c>
      <c r="H11" s="141">
        <v>45603</v>
      </c>
      <c r="I11" s="141">
        <v>53592</v>
      </c>
      <c r="J11" s="131">
        <f>I11*(1+J40)</f>
        <v>62980.559700019738</v>
      </c>
      <c r="K11" s="131">
        <f t="shared" ref="K11:L11" si="6">J11*(1+K40)</f>
        <v>74013.862145987281</v>
      </c>
      <c r="L11" s="131">
        <f t="shared" si="6"/>
        <v>86980.042982429892</v>
      </c>
      <c r="N11" t="s">
        <v>216</v>
      </c>
    </row>
    <row r="12" spans="3:15" x14ac:dyDescent="0.3">
      <c r="C12" t="s">
        <v>206</v>
      </c>
      <c r="D12" s="140">
        <v>11132</v>
      </c>
      <c r="E12" s="140">
        <v>12863</v>
      </c>
      <c r="F12" s="140">
        <v>17417</v>
      </c>
      <c r="G12" s="140">
        <v>24482</v>
      </c>
      <c r="H12" s="141">
        <v>23079</v>
      </c>
      <c r="I12" s="141">
        <v>26278</v>
      </c>
      <c r="J12" s="131">
        <f t="shared" ref="J12:L12" si="7">I12*(1+J41)</f>
        <v>29920.416135881103</v>
      </c>
      <c r="K12" s="131">
        <f t="shared" si="7"/>
        <v>34067.710698846728</v>
      </c>
      <c r="L12" s="131">
        <f t="shared" si="7"/>
        <v>38789.865321040525</v>
      </c>
      <c r="N12" t="s">
        <v>216</v>
      </c>
    </row>
    <row r="13" spans="3:15" x14ac:dyDescent="0.3">
      <c r="C13" s="22" t="s">
        <v>207</v>
      </c>
      <c r="D13" s="130">
        <f t="shared" ref="D13" si="8">SUM(D7:D9,D11:D12)</f>
        <v>215639</v>
      </c>
      <c r="E13" s="130">
        <f>SUM(E7:E9,E11:E12)</f>
        <v>229234</v>
      </c>
      <c r="F13" s="130">
        <f t="shared" ref="F13:L13" si="9">SUM(F7:F9,F11:F12)</f>
        <v>265595</v>
      </c>
      <c r="G13" s="130">
        <f t="shared" si="9"/>
        <v>260174</v>
      </c>
      <c r="H13" s="132">
        <f t="shared" ca="1" si="9"/>
        <v>252990.4817</v>
      </c>
      <c r="I13" s="132">
        <f t="shared" ca="1" si="9"/>
        <v>265376.78419999999</v>
      </c>
      <c r="J13" s="132">
        <f t="shared" ca="1" si="9"/>
        <v>278407.76003590086</v>
      </c>
      <c r="K13" s="132">
        <f t="shared" ca="1" si="9"/>
        <v>293588.357044834</v>
      </c>
      <c r="L13" s="132">
        <f t="shared" ca="1" si="9"/>
        <v>311276.6925034704</v>
      </c>
    </row>
    <row r="14" spans="3:15" x14ac:dyDescent="0.3">
      <c r="C14" t="s">
        <v>208</v>
      </c>
      <c r="E14" s="133">
        <f t="shared" ref="E14" si="10">E13/D13-1</f>
        <v>6.304518199398057E-2</v>
      </c>
      <c r="F14" s="133">
        <f>F13/E13-1</f>
        <v>0.15861957650261305</v>
      </c>
      <c r="G14" s="133">
        <f t="shared" ref="G14:L14" si="11">G13/F13-1</f>
        <v>-2.04107758052674E-2</v>
      </c>
      <c r="H14" s="133">
        <f t="shared" ca="1" si="11"/>
        <v>-2.7610438783275848E-2</v>
      </c>
      <c r="I14" s="133">
        <f t="shared" ca="1" si="11"/>
        <v>4.8959559335073566E-2</v>
      </c>
      <c r="J14" s="133">
        <f t="shared" ca="1" si="11"/>
        <v>4.9103676778599281E-2</v>
      </c>
      <c r="K14" s="133">
        <f t="shared" ca="1" si="11"/>
        <v>5.452648664310078E-2</v>
      </c>
      <c r="L14" s="133">
        <f t="shared" ca="1" si="11"/>
        <v>6.0248763393349503E-2</v>
      </c>
    </row>
    <row r="15" spans="3:15" x14ac:dyDescent="0.3">
      <c r="E15" s="91"/>
      <c r="F15" s="91"/>
      <c r="G15" s="91"/>
      <c r="H15" s="152"/>
      <c r="I15" s="91"/>
      <c r="J15" s="91"/>
      <c r="K15" s="91"/>
      <c r="L15" s="91"/>
    </row>
    <row r="16" spans="3:15" x14ac:dyDescent="0.3">
      <c r="C16" s="22" t="s">
        <v>209</v>
      </c>
      <c r="D16" s="22"/>
      <c r="E16" s="91"/>
      <c r="F16" s="91"/>
      <c r="G16" s="91"/>
      <c r="H16" s="91"/>
      <c r="I16" s="91"/>
      <c r="J16" s="91"/>
      <c r="K16" s="91"/>
      <c r="L16" s="91"/>
    </row>
    <row r="17" spans="3:14" x14ac:dyDescent="0.3">
      <c r="C17" t="s">
        <v>202</v>
      </c>
      <c r="D17" s="140">
        <v>211884</v>
      </c>
      <c r="E17" s="140">
        <v>216756</v>
      </c>
      <c r="F17" s="140">
        <v>217722</v>
      </c>
      <c r="G17" s="140">
        <v>191000</v>
      </c>
      <c r="H17" s="154">
        <f ca="1">'FSM-2019 update'!H239</f>
        <v>173700</v>
      </c>
      <c r="I17" s="154">
        <f ca="1">'FSM-2019 update'!I239</f>
        <v>190880</v>
      </c>
      <c r="J17" s="154">
        <f ca="1">'FSM-2019 update'!J239</f>
        <v>190880</v>
      </c>
      <c r="K17" s="154">
        <f ca="1">'FSM-2019 update'!K239</f>
        <v>190880</v>
      </c>
      <c r="L17" s="154">
        <f ca="1">'FSM-2019 update'!L239</f>
        <v>190880</v>
      </c>
      <c r="N17" t="s">
        <v>215</v>
      </c>
    </row>
    <row r="18" spans="3:14" x14ac:dyDescent="0.3">
      <c r="C18" t="s">
        <v>203</v>
      </c>
      <c r="D18" s="140">
        <v>45590</v>
      </c>
      <c r="E18" s="140">
        <v>43753</v>
      </c>
      <c r="F18" s="140">
        <v>43535</v>
      </c>
      <c r="G18" s="140">
        <v>49900</v>
      </c>
      <c r="H18" s="141">
        <v>46170</v>
      </c>
      <c r="I18" s="141">
        <v>49260</v>
      </c>
      <c r="J18" s="131">
        <f>I18</f>
        <v>49260</v>
      </c>
      <c r="K18" s="131">
        <f t="shared" ref="K18:L19" si="12">J18</f>
        <v>49260</v>
      </c>
      <c r="L18" s="131">
        <f t="shared" si="12"/>
        <v>49260</v>
      </c>
      <c r="N18" t="s">
        <v>215</v>
      </c>
    </row>
    <row r="19" spans="3:14" x14ac:dyDescent="0.3">
      <c r="C19" t="s">
        <v>204</v>
      </c>
      <c r="D19" s="140">
        <v>18484</v>
      </c>
      <c r="E19" s="140">
        <v>19251</v>
      </c>
      <c r="F19" s="140">
        <v>18209</v>
      </c>
      <c r="G19" s="140">
        <v>17500</v>
      </c>
      <c r="H19" s="141">
        <v>19670</v>
      </c>
      <c r="I19" s="141">
        <v>19140</v>
      </c>
      <c r="J19" s="131">
        <f>I19</f>
        <v>19140</v>
      </c>
      <c r="K19" s="131">
        <f t="shared" si="12"/>
        <v>19140</v>
      </c>
      <c r="L19" s="131">
        <f t="shared" si="12"/>
        <v>19140</v>
      </c>
      <c r="N19" t="s">
        <v>215</v>
      </c>
    </row>
    <row r="20" spans="3:14" x14ac:dyDescent="0.3">
      <c r="E20" s="91"/>
      <c r="F20" s="91"/>
      <c r="G20" s="91"/>
      <c r="H20" s="91"/>
      <c r="I20" s="91"/>
      <c r="J20" s="91"/>
      <c r="K20" s="91"/>
      <c r="L20" s="91"/>
    </row>
    <row r="21" spans="3:14" x14ac:dyDescent="0.3">
      <c r="C21" s="22" t="s">
        <v>210</v>
      </c>
      <c r="D21" s="22"/>
      <c r="E21" s="91"/>
      <c r="F21" s="91"/>
      <c r="G21" s="91"/>
      <c r="H21" s="91"/>
      <c r="I21" s="91"/>
      <c r="J21" s="91"/>
      <c r="K21" s="91"/>
      <c r="L21" s="91"/>
    </row>
    <row r="22" spans="3:14" x14ac:dyDescent="0.3">
      <c r="C22" t="s">
        <v>202</v>
      </c>
      <c r="D22" s="134">
        <f>1000*D7/D17</f>
        <v>645.16433520228054</v>
      </c>
      <c r="E22" s="134">
        <f t="shared" ref="E22:F22" si="13">1000*E7/E17</f>
        <v>651.97272509180834</v>
      </c>
      <c r="F22" s="134">
        <f t="shared" si="13"/>
        <v>765.65069216707548</v>
      </c>
      <c r="G22" s="134">
        <f>1000*G7/G17</f>
        <v>745.45026178010471</v>
      </c>
      <c r="H22" s="153">
        <f ca="1">'FSM-2019 update'!H240</f>
        <v>792</v>
      </c>
      <c r="I22" s="153">
        <f ca="1">'FSM-2019 update'!I240</f>
        <v>725</v>
      </c>
      <c r="J22" s="153">
        <f ca="1">'FSM-2019 update'!J240</f>
        <v>725</v>
      </c>
      <c r="K22" s="153">
        <f ca="1">'FSM-2019 update'!K240</f>
        <v>725</v>
      </c>
      <c r="L22" s="153">
        <f ca="1">'FSM-2019 update'!L240</f>
        <v>725</v>
      </c>
      <c r="N22" t="s">
        <v>215</v>
      </c>
    </row>
    <row r="23" spans="3:14" x14ac:dyDescent="0.3">
      <c r="C23" t="s">
        <v>203</v>
      </c>
      <c r="D23" s="134">
        <f t="shared" ref="D23:E23" si="14">1000*D8/D18</f>
        <v>452.46764641368719</v>
      </c>
      <c r="E23" s="134">
        <f t="shared" si="14"/>
        <v>439.32987452288984</v>
      </c>
      <c r="F23" s="134">
        <f t="shared" ref="F23:G24" si="15">1000*F8/F18</f>
        <v>431.95130354886874</v>
      </c>
      <c r="G23" s="134">
        <f t="shared" si="15"/>
        <v>426.45290581162322</v>
      </c>
      <c r="H23" s="144">
        <v>438.01</v>
      </c>
      <c r="I23" s="144">
        <v>415.67</v>
      </c>
      <c r="J23" s="135">
        <f t="shared" ref="J23:L24" si="16">I23</f>
        <v>415.67</v>
      </c>
      <c r="K23" s="135">
        <f t="shared" si="16"/>
        <v>415.67</v>
      </c>
      <c r="L23" s="135">
        <f t="shared" si="16"/>
        <v>415.67</v>
      </c>
      <c r="N23" t="s">
        <v>215</v>
      </c>
    </row>
    <row r="24" spans="3:14" x14ac:dyDescent="0.3">
      <c r="C24" t="s">
        <v>204</v>
      </c>
      <c r="D24" s="134">
        <f t="shared" ref="D24:E24" si="17">1000*D9/D19</f>
        <v>1235.1763687513526</v>
      </c>
      <c r="E24" s="134">
        <f t="shared" si="17"/>
        <v>1342.7873876681731</v>
      </c>
      <c r="F24" s="134">
        <f t="shared" si="15"/>
        <v>1399.5277060794112</v>
      </c>
      <c r="G24" s="134">
        <f t="shared" si="15"/>
        <v>1470.8571428571429</v>
      </c>
      <c r="H24" s="144">
        <v>1348</v>
      </c>
      <c r="I24" s="144">
        <v>1392</v>
      </c>
      <c r="J24" s="135">
        <f t="shared" si="16"/>
        <v>1392</v>
      </c>
      <c r="K24" s="135">
        <f t="shared" si="16"/>
        <v>1392</v>
      </c>
      <c r="L24" s="135">
        <f t="shared" si="16"/>
        <v>1392</v>
      </c>
      <c r="N24" t="s">
        <v>215</v>
      </c>
    </row>
    <row r="25" spans="3:14" x14ac:dyDescent="0.3">
      <c r="E25" s="91"/>
      <c r="F25" s="91"/>
      <c r="G25" s="91"/>
      <c r="H25" s="136"/>
      <c r="I25" s="136"/>
      <c r="J25" s="136"/>
      <c r="K25" s="136"/>
      <c r="L25" s="136"/>
    </row>
    <row r="26" spans="3:14" x14ac:dyDescent="0.3">
      <c r="C26" s="22" t="s">
        <v>211</v>
      </c>
      <c r="D26" s="22"/>
      <c r="E26" s="91"/>
      <c r="F26" s="91"/>
      <c r="G26" s="91"/>
      <c r="H26" s="136"/>
      <c r="I26" s="136"/>
      <c r="J26" s="136"/>
      <c r="K26" s="136"/>
      <c r="L26" s="136"/>
    </row>
    <row r="27" spans="3:14" x14ac:dyDescent="0.3">
      <c r="C27" t="s">
        <v>202</v>
      </c>
      <c r="E27" s="137">
        <f>E17/D17-1</f>
        <v>2.2993713541371585E-2</v>
      </c>
      <c r="F27" s="142">
        <f t="shared" ref="F27:F29" si="18">F17/E17-1</f>
        <v>4.4566240380889965E-3</v>
      </c>
      <c r="G27" s="142">
        <f t="shared" ref="G27:L29" si="19">G17/F17-1</f>
        <v>-0.12273449628425237</v>
      </c>
      <c r="H27" s="143">
        <f t="shared" ca="1" si="19"/>
        <v>-9.0575916230366538E-2</v>
      </c>
      <c r="I27" s="143">
        <f t="shared" ca="1" si="19"/>
        <v>9.8906160046056346E-2</v>
      </c>
      <c r="J27" s="143">
        <f t="shared" ca="1" si="19"/>
        <v>0</v>
      </c>
      <c r="K27" s="143">
        <f t="shared" ca="1" si="19"/>
        <v>0</v>
      </c>
      <c r="L27" s="143">
        <f t="shared" ca="1" si="19"/>
        <v>0</v>
      </c>
    </row>
    <row r="28" spans="3:14" x14ac:dyDescent="0.3">
      <c r="C28" t="s">
        <v>203</v>
      </c>
      <c r="E28" s="137">
        <f t="shared" ref="E28:E29" si="20">E18/D18-1</f>
        <v>-4.0293924106163614E-2</v>
      </c>
      <c r="F28" s="142">
        <f t="shared" si="18"/>
        <v>-4.98251548465245E-3</v>
      </c>
      <c r="G28" s="142">
        <f t="shared" si="19"/>
        <v>0.14620420351441377</v>
      </c>
      <c r="H28" s="143">
        <f>H18/G18-1</f>
        <v>-7.4749498997995989E-2</v>
      </c>
      <c r="I28" s="143">
        <f t="shared" si="19"/>
        <v>6.6926575698505575E-2</v>
      </c>
      <c r="J28" s="143">
        <f t="shared" si="19"/>
        <v>0</v>
      </c>
      <c r="K28" s="143">
        <f t="shared" si="19"/>
        <v>0</v>
      </c>
      <c r="L28" s="143">
        <f t="shared" si="19"/>
        <v>0</v>
      </c>
    </row>
    <row r="29" spans="3:14" x14ac:dyDescent="0.3">
      <c r="C29" t="s">
        <v>204</v>
      </c>
      <c r="E29" s="137">
        <f t="shared" si="20"/>
        <v>4.1495347327418219E-2</v>
      </c>
      <c r="F29" s="142">
        <f t="shared" si="18"/>
        <v>-5.4127058334631939E-2</v>
      </c>
      <c r="G29" s="142">
        <f t="shared" si="19"/>
        <v>-3.8936789499697921E-2</v>
      </c>
      <c r="H29" s="143">
        <f t="shared" si="19"/>
        <v>0.12400000000000011</v>
      </c>
      <c r="I29" s="143">
        <f t="shared" si="19"/>
        <v>-2.6944585663446818E-2</v>
      </c>
      <c r="J29" s="143">
        <f t="shared" si="19"/>
        <v>0</v>
      </c>
      <c r="K29" s="143">
        <f t="shared" si="19"/>
        <v>0</v>
      </c>
      <c r="L29" s="143">
        <f t="shared" si="19"/>
        <v>0</v>
      </c>
    </row>
    <row r="30" spans="3:14" x14ac:dyDescent="0.3">
      <c r="E30" s="91"/>
      <c r="F30" s="139"/>
      <c r="G30" s="139"/>
      <c r="H30" s="136"/>
      <c r="I30" s="136"/>
      <c r="J30" s="136"/>
      <c r="K30" s="136"/>
      <c r="L30" s="136"/>
    </row>
    <row r="31" spans="3:14" x14ac:dyDescent="0.3">
      <c r="C31" s="22" t="s">
        <v>212</v>
      </c>
      <c r="D31" s="22"/>
      <c r="E31" s="91"/>
      <c r="F31" s="139"/>
      <c r="G31" s="139"/>
      <c r="H31" s="136"/>
      <c r="I31" s="136"/>
      <c r="J31" s="136"/>
      <c r="K31" s="136"/>
      <c r="L31" s="136"/>
    </row>
    <row r="32" spans="3:14" x14ac:dyDescent="0.3">
      <c r="C32" t="s">
        <v>202</v>
      </c>
      <c r="E32" s="137">
        <f t="shared" ref="E32:E34" si="21">E22/D22-1</f>
        <v>1.0552954523428637E-2</v>
      </c>
      <c r="F32" s="137">
        <f>F22/E22-1</f>
        <v>0.17436000418462205</v>
      </c>
      <c r="G32" s="142">
        <f t="shared" ref="G32:L34" si="22">G22/F22-1</f>
        <v>-2.6383350258322169E-2</v>
      </c>
      <c r="H32" s="143">
        <f t="shared" ca="1" si="22"/>
        <v>6.2445129617013428E-2</v>
      </c>
      <c r="I32" s="143">
        <f t="shared" ca="1" si="22"/>
        <v>-8.4595959595959558E-2</v>
      </c>
      <c r="J32" s="143">
        <f t="shared" ca="1" si="22"/>
        <v>0</v>
      </c>
      <c r="K32" s="143">
        <f t="shared" ca="1" si="22"/>
        <v>0</v>
      </c>
      <c r="L32" s="143">
        <f t="shared" ca="1" si="22"/>
        <v>0</v>
      </c>
    </row>
    <row r="33" spans="3:12" x14ac:dyDescent="0.3">
      <c r="C33" t="s">
        <v>203</v>
      </c>
      <c r="E33" s="137">
        <f t="shared" si="21"/>
        <v>-2.9035826085972993E-2</v>
      </c>
      <c r="F33" s="137">
        <f t="shared" ref="F33:F34" si="23">F23/E23-1</f>
        <v>-1.6795058569677779E-2</v>
      </c>
      <c r="G33" s="142">
        <f t="shared" si="22"/>
        <v>-1.2729207417760402E-2</v>
      </c>
      <c r="H33" s="143">
        <f t="shared" si="22"/>
        <v>2.7100516917293316E-2</v>
      </c>
      <c r="I33" s="143">
        <f t="shared" si="22"/>
        <v>-5.1003401748818455E-2</v>
      </c>
      <c r="J33" s="143">
        <f t="shared" si="22"/>
        <v>0</v>
      </c>
      <c r="K33" s="143">
        <f t="shared" si="22"/>
        <v>0</v>
      </c>
      <c r="L33" s="143">
        <f t="shared" si="22"/>
        <v>0</v>
      </c>
    </row>
    <row r="34" spans="3:12" x14ac:dyDescent="0.3">
      <c r="C34" t="s">
        <v>204</v>
      </c>
      <c r="E34" s="137">
        <f t="shared" si="21"/>
        <v>8.7121986494613113E-2</v>
      </c>
      <c r="F34" s="137">
        <f t="shared" si="23"/>
        <v>4.2255623587417634E-2</v>
      </c>
      <c r="G34" s="142">
        <f t="shared" si="22"/>
        <v>5.0966791488216812E-2</v>
      </c>
      <c r="H34" s="143">
        <f t="shared" si="22"/>
        <v>-8.3527583527583493E-2</v>
      </c>
      <c r="I34" s="143">
        <f t="shared" si="22"/>
        <v>3.2640949554896048E-2</v>
      </c>
      <c r="J34" s="143">
        <f t="shared" si="22"/>
        <v>0</v>
      </c>
      <c r="K34" s="143">
        <f t="shared" si="22"/>
        <v>0</v>
      </c>
      <c r="L34" s="143">
        <f t="shared" si="22"/>
        <v>0</v>
      </c>
    </row>
    <row r="35" spans="3:12" x14ac:dyDescent="0.3">
      <c r="E35" s="139"/>
      <c r="F35" s="139"/>
      <c r="G35" s="139"/>
      <c r="H35" s="136"/>
      <c r="I35" s="136"/>
      <c r="J35" s="136"/>
      <c r="K35" s="136"/>
      <c r="L35" s="136"/>
    </row>
    <row r="36" spans="3:12" x14ac:dyDescent="0.3">
      <c r="C36" s="22" t="s">
        <v>213</v>
      </c>
      <c r="D36" s="22"/>
      <c r="E36" s="139"/>
      <c r="F36" s="139"/>
      <c r="G36" s="139"/>
      <c r="H36" s="136"/>
      <c r="I36" s="136"/>
      <c r="J36" s="136"/>
      <c r="K36" s="136"/>
      <c r="L36" s="136"/>
    </row>
    <row r="37" spans="3:12" x14ac:dyDescent="0.3">
      <c r="C37" t="s">
        <v>202</v>
      </c>
      <c r="E37" s="137">
        <f t="shared" ref="E37:E39" si="24">E7/D7-1</f>
        <v>3.3789319678127372E-2</v>
      </c>
      <c r="F37" s="137">
        <f t="shared" ref="F37:G39" si="25">F7/E7-1</f>
        <v>0.1795936852086415</v>
      </c>
      <c r="G37" s="142">
        <f>G7/F7-1</f>
        <v>-0.14587969933832834</v>
      </c>
      <c r="H37" s="143">
        <f t="shared" ref="H37:L39" ca="1" si="26">H7/G7-1</f>
        <v>-3.3786811442538034E-2</v>
      </c>
      <c r="I37" s="143">
        <f t="shared" ca="1" si="26"/>
        <v>5.9431389310491411E-3</v>
      </c>
      <c r="J37" s="143">
        <f t="shared" ca="1" si="26"/>
        <v>0</v>
      </c>
      <c r="K37" s="143">
        <f t="shared" ca="1" si="26"/>
        <v>0</v>
      </c>
      <c r="L37" s="143">
        <f t="shared" ca="1" si="26"/>
        <v>0</v>
      </c>
    </row>
    <row r="38" spans="3:12" x14ac:dyDescent="0.3">
      <c r="C38" t="s">
        <v>203</v>
      </c>
      <c r="E38" s="137">
        <f t="shared" si="24"/>
        <v>-6.8159782819468662E-2</v>
      </c>
      <c r="F38" s="137">
        <f t="shared" si="25"/>
        <v>-2.169389241494124E-2</v>
      </c>
      <c r="G38" s="142">
        <f t="shared" si="25"/>
        <v>0.13161393246477004</v>
      </c>
      <c r="H38" s="143">
        <f t="shared" si="26"/>
        <v>-4.9674732142857225E-2</v>
      </c>
      <c r="I38" s="143">
        <f t="shared" si="26"/>
        <v>1.2509690921663541E-2</v>
      </c>
      <c r="J38" s="143">
        <f t="shared" si="26"/>
        <v>0</v>
      </c>
      <c r="K38" s="143">
        <f t="shared" si="26"/>
        <v>0</v>
      </c>
      <c r="L38" s="143">
        <f t="shared" si="26"/>
        <v>0</v>
      </c>
    </row>
    <row r="39" spans="3:12" x14ac:dyDescent="0.3">
      <c r="C39" t="s">
        <v>204</v>
      </c>
      <c r="E39" s="137">
        <f t="shared" si="24"/>
        <v>0.13223249091148004</v>
      </c>
      <c r="F39" s="137">
        <f t="shared" si="25"/>
        <v>-1.4158607350096664E-2</v>
      </c>
      <c r="G39" s="142">
        <f t="shared" si="25"/>
        <v>1.00455187568671E-2</v>
      </c>
      <c r="H39" s="143">
        <f t="shared" si="26"/>
        <v>3.0114996114996018E-2</v>
      </c>
      <c r="I39" s="143">
        <f t="shared" si="26"/>
        <v>4.8168670300312577E-3</v>
      </c>
      <c r="J39" s="143">
        <f t="shared" si="26"/>
        <v>0</v>
      </c>
      <c r="K39" s="143">
        <f t="shared" si="26"/>
        <v>0</v>
      </c>
      <c r="L39" s="143">
        <f t="shared" si="26"/>
        <v>0</v>
      </c>
    </row>
    <row r="40" spans="3:12" x14ac:dyDescent="0.3">
      <c r="C40" t="s">
        <v>214</v>
      </c>
      <c r="E40" s="137">
        <f t="shared" ref="E40:E41" si="27">E11/D11-1</f>
        <v>0.23131263348118947</v>
      </c>
      <c r="F40" s="137">
        <f>F11/E11-1</f>
        <v>0.24049366244162784</v>
      </c>
      <c r="G40" s="137">
        <f>G11/F11-1</f>
        <v>0.24471632159182577</v>
      </c>
      <c r="H40" s="133">
        <f t="shared" ref="H40:I41" si="28">H11/G11-1</f>
        <v>-1.4862500270030887E-2</v>
      </c>
      <c r="I40" s="133">
        <f t="shared" si="28"/>
        <v>0.17518584303664242</v>
      </c>
      <c r="J40" s="138">
        <f>I40</f>
        <v>0.17518584303664242</v>
      </c>
      <c r="K40" s="138">
        <f t="shared" ref="K40:L40" si="29">J40</f>
        <v>0.17518584303664242</v>
      </c>
      <c r="L40" s="138">
        <f t="shared" si="29"/>
        <v>0.17518584303664242</v>
      </c>
    </row>
    <row r="41" spans="3:12" x14ac:dyDescent="0.3">
      <c r="C41" t="s">
        <v>206</v>
      </c>
      <c r="E41" s="137">
        <f t="shared" si="27"/>
        <v>0.15549766439094492</v>
      </c>
      <c r="F41" s="137">
        <f t="shared" ref="F41:G41" si="30">F12/E12-1</f>
        <v>0.35403871569618284</v>
      </c>
      <c r="G41" s="137">
        <f t="shared" si="30"/>
        <v>0.40563816960440957</v>
      </c>
      <c r="H41" s="133">
        <f t="shared" si="28"/>
        <v>-5.7307409525365616E-2</v>
      </c>
      <c r="I41" s="133">
        <f t="shared" si="28"/>
        <v>0.13861085835608122</v>
      </c>
      <c r="J41" s="138">
        <f t="shared" ref="J41:L41" si="31">I41</f>
        <v>0.13861085835608122</v>
      </c>
      <c r="K41" s="138">
        <f t="shared" si="31"/>
        <v>0.13861085835608122</v>
      </c>
      <c r="L41" s="138">
        <f t="shared" si="31"/>
        <v>0.13861085835608122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3-statement model</vt:lpstr>
      <vt:lpstr>Revenues build-up</vt:lpstr>
      <vt:lpstr>FSM-2019 update</vt:lpstr>
      <vt:lpstr>Rev-2019 update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ziad</dc:creator>
  <cp:lastModifiedBy>ziad</cp:lastModifiedBy>
  <dcterms:created xsi:type="dcterms:W3CDTF">2026-07-23T12:56:48Z</dcterms:created>
  <dcterms:modified xsi:type="dcterms:W3CDTF">2026-10-09T13:36:35Z</dcterms:modified>
</cp:coreProperties>
</file>